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e6c4c3e308ba6c/Documents/"/>
    </mc:Choice>
  </mc:AlternateContent>
  <xr:revisionPtr revIDLastSave="296" documentId="14_{D8491B52-29C3-47D0-8C64-2DCD045EB7FF}" xr6:coauthVersionLast="47" xr6:coauthVersionMax="47" xr10:uidLastSave="{4906426C-1770-4B06-95EA-517C7F31E481}"/>
  <bookViews>
    <workbookView xWindow="-108" yWindow="-108" windowWidth="23256" windowHeight="13176" firstSheet="4" activeTab="9" xr2:uid="{B2A0EC71-2584-41F0-AEA6-14E1F71EE700}"/>
  </bookViews>
  <sheets>
    <sheet name="Assumption Sheet" sheetId="1" r:id="rId1"/>
    <sheet name="Data Sheet" sheetId="9" r:id="rId2"/>
    <sheet name="HUL IS" sheetId="2" r:id="rId3"/>
    <sheet name="HUL BS" sheetId="3" r:id="rId4"/>
    <sheet name="HUL CS" sheetId="4" r:id="rId5"/>
    <sheet name="DCF Analysis" sheetId="5" r:id="rId6"/>
    <sheet name="Ratio Analysis" sheetId="7" r:id="rId7"/>
    <sheet name="CCA Analysis" sheetId="6" r:id="rId8"/>
    <sheet name="Calculation Sheet" sheetId="8" r:id="rId9"/>
    <sheet name="Valuation Summary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I2" i="4"/>
  <c r="J2" i="4"/>
  <c r="K2" i="4"/>
  <c r="L2" i="4"/>
  <c r="H2" i="4"/>
  <c r="D2" i="4"/>
  <c r="E2" i="4"/>
  <c r="F2" i="4"/>
  <c r="G2" i="4"/>
  <c r="C2" i="4"/>
  <c r="G6" i="3" l="1"/>
  <c r="B8" i="5" l="1"/>
  <c r="D17" i="5" l="1"/>
  <c r="C48" i="5"/>
  <c r="C51" i="5"/>
  <c r="F38" i="2"/>
  <c r="C81" i="9"/>
  <c r="C83" i="9" s="1"/>
  <c r="D6" i="1"/>
  <c r="E6" i="1"/>
  <c r="F6" i="1"/>
  <c r="G6" i="1"/>
  <c r="C7" i="1"/>
  <c r="D7" i="1"/>
  <c r="E7" i="1"/>
  <c r="F7" i="1"/>
  <c r="G7" i="1"/>
  <c r="C8" i="1"/>
  <c r="H8" i="1" s="1"/>
  <c r="I8" i="1" s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H15" i="1" s="1"/>
  <c r="I15" i="1" s="1"/>
  <c r="J15" i="1" s="1"/>
  <c r="K15" i="1" s="1"/>
  <c r="L15" i="1" s="1"/>
  <c r="C16" i="1"/>
  <c r="D16" i="1"/>
  <c r="E16" i="1"/>
  <c r="F16" i="1"/>
  <c r="G16" i="1"/>
  <c r="C20" i="1"/>
  <c r="J8" i="1" l="1"/>
  <c r="D6" i="6"/>
  <c r="N20" i="6" s="1"/>
  <c r="M14" i="6"/>
  <c r="N7" i="6"/>
  <c r="M13" i="6"/>
  <c r="G7" i="6"/>
  <c r="M7" i="6"/>
  <c r="M8" i="6"/>
  <c r="G10" i="6"/>
  <c r="N10" i="6" s="1"/>
  <c r="G11" i="6"/>
  <c r="N11" i="6" s="1"/>
  <c r="E6" i="6"/>
  <c r="C6" i="6"/>
  <c r="O11" i="6"/>
  <c r="O10" i="6"/>
  <c r="O9" i="6"/>
  <c r="G9" i="6"/>
  <c r="N9" i="6" s="1"/>
  <c r="O8" i="6"/>
  <c r="I8" i="6"/>
  <c r="G8" i="6"/>
  <c r="N8" i="6" s="1"/>
  <c r="K8" i="1" l="1"/>
  <c r="L8" i="1" s="1"/>
  <c r="M20" i="6"/>
  <c r="O20" i="6"/>
  <c r="O13" i="6"/>
  <c r="O14" i="6"/>
  <c r="N14" i="6"/>
  <c r="N13" i="6"/>
  <c r="M9" i="6"/>
  <c r="M10" i="6"/>
  <c r="M11" i="6"/>
  <c r="H7" i="8" l="1"/>
  <c r="H22" i="2" s="1"/>
  <c r="H34" i="5"/>
  <c r="G34" i="5"/>
  <c r="F34" i="5"/>
  <c r="E34" i="5"/>
  <c r="D34" i="5"/>
  <c r="C34" i="5"/>
  <c r="E7" i="5" l="1"/>
  <c r="G28" i="2" l="1"/>
  <c r="C28" i="2"/>
  <c r="C56" i="9"/>
  <c r="H8" i="4"/>
  <c r="H5" i="8"/>
  <c r="G5" i="8"/>
  <c r="I36" i="2"/>
  <c r="J36" i="2"/>
  <c r="K36" i="2"/>
  <c r="L36" i="2"/>
  <c r="H36" i="2"/>
  <c r="D25" i="2"/>
  <c r="E25" i="2"/>
  <c r="F25" i="2"/>
  <c r="G25" i="2"/>
  <c r="C25" i="2"/>
  <c r="I26" i="2"/>
  <c r="J26" i="2"/>
  <c r="K26" i="2"/>
  <c r="L26" i="2"/>
  <c r="H26" i="2"/>
  <c r="I23" i="2"/>
  <c r="J23" i="2"/>
  <c r="K23" i="2"/>
  <c r="L23" i="2"/>
  <c r="H23" i="2"/>
  <c r="I18" i="2"/>
  <c r="J18" i="2"/>
  <c r="K18" i="2"/>
  <c r="L18" i="2"/>
  <c r="H18" i="2"/>
  <c r="C23" i="2"/>
  <c r="D23" i="2"/>
  <c r="E23" i="2"/>
  <c r="F23" i="2"/>
  <c r="G23" i="2"/>
  <c r="B35" i="1"/>
  <c r="D35" i="1"/>
  <c r="B30" i="1"/>
  <c r="D29" i="1"/>
  <c r="B28" i="1"/>
  <c r="C28" i="4"/>
  <c r="D27" i="4" s="1"/>
  <c r="C27" i="4"/>
  <c r="D26" i="4"/>
  <c r="E26" i="4"/>
  <c r="F26" i="4"/>
  <c r="G26" i="4"/>
  <c r="C26" i="4"/>
  <c r="D23" i="4"/>
  <c r="E23" i="4"/>
  <c r="F23" i="4"/>
  <c r="G23" i="4"/>
  <c r="C23" i="4"/>
  <c r="C13" i="4"/>
  <c r="C12" i="4"/>
  <c r="C11" i="4"/>
  <c r="C68" i="9"/>
  <c r="C8" i="4" s="1"/>
  <c r="G28" i="3"/>
  <c r="G29" i="3"/>
  <c r="G27" i="3"/>
  <c r="G23" i="3"/>
  <c r="F18" i="3"/>
  <c r="G18" i="3"/>
  <c r="F19" i="3"/>
  <c r="G19" i="3"/>
  <c r="G17" i="3"/>
  <c r="G12" i="3"/>
  <c r="G14" i="3"/>
  <c r="D8" i="3"/>
  <c r="E8" i="3"/>
  <c r="F8" i="3"/>
  <c r="G8" i="3"/>
  <c r="D7" i="3"/>
  <c r="E7" i="3"/>
  <c r="F7" i="3"/>
  <c r="G7" i="3"/>
  <c r="D6" i="3"/>
  <c r="E6" i="3"/>
  <c r="F6" i="3"/>
  <c r="D5" i="3"/>
  <c r="E5" i="3"/>
  <c r="F5" i="3"/>
  <c r="G5" i="3"/>
  <c r="D27" i="3"/>
  <c r="E27" i="3"/>
  <c r="F27" i="3"/>
  <c r="F23" i="7" s="1"/>
  <c r="D28" i="3"/>
  <c r="E28" i="3"/>
  <c r="F28" i="3"/>
  <c r="D29" i="3"/>
  <c r="E29" i="3"/>
  <c r="F29" i="3"/>
  <c r="C28" i="3"/>
  <c r="C29" i="3"/>
  <c r="C27" i="3"/>
  <c r="D23" i="3"/>
  <c r="E23" i="3"/>
  <c r="F23" i="3"/>
  <c r="C23" i="3"/>
  <c r="D17" i="3"/>
  <c r="E17" i="3"/>
  <c r="F17" i="3"/>
  <c r="D18" i="3"/>
  <c r="E18" i="3"/>
  <c r="D19" i="3"/>
  <c r="E19" i="3"/>
  <c r="C18" i="3"/>
  <c r="C19" i="3"/>
  <c r="C17" i="3"/>
  <c r="D14" i="3"/>
  <c r="F14" i="3"/>
  <c r="D12" i="3"/>
  <c r="E12" i="3"/>
  <c r="F12" i="3"/>
  <c r="C12" i="3"/>
  <c r="C7" i="3"/>
  <c r="C8" i="3"/>
  <c r="C6" i="3"/>
  <c r="C5" i="3"/>
  <c r="D38" i="2"/>
  <c r="E38" i="2"/>
  <c r="G38" i="2"/>
  <c r="C38" i="2"/>
  <c r="D30" i="2"/>
  <c r="E30" i="2"/>
  <c r="F30" i="2"/>
  <c r="G30" i="2"/>
  <c r="D35" i="2"/>
  <c r="E35" i="2"/>
  <c r="F35" i="2"/>
  <c r="G35" i="2"/>
  <c r="C35" i="2"/>
  <c r="C30" i="2"/>
  <c r="D33" i="2"/>
  <c r="E33" i="2"/>
  <c r="F33" i="2"/>
  <c r="G33" i="2"/>
  <c r="C33" i="2"/>
  <c r="D28" i="2"/>
  <c r="E28" i="2"/>
  <c r="F28" i="2"/>
  <c r="D17" i="2"/>
  <c r="E17" i="2"/>
  <c r="F17" i="2"/>
  <c r="G17" i="2"/>
  <c r="C17" i="2"/>
  <c r="D22" i="2"/>
  <c r="E22" i="2"/>
  <c r="F22" i="2"/>
  <c r="G22" i="2"/>
  <c r="C22" i="2"/>
  <c r="D20" i="2"/>
  <c r="E20" i="2"/>
  <c r="F20" i="2"/>
  <c r="G20" i="2"/>
  <c r="C20" i="2"/>
  <c r="D14" i="2"/>
  <c r="E14" i="2"/>
  <c r="F14" i="2"/>
  <c r="G14" i="2"/>
  <c r="G9" i="7" s="1"/>
  <c r="C14" i="2"/>
  <c r="C9" i="7" s="1"/>
  <c r="D11" i="2"/>
  <c r="E11" i="2"/>
  <c r="F11" i="2"/>
  <c r="G11" i="2"/>
  <c r="G18" i="7" s="1"/>
  <c r="C11" i="2"/>
  <c r="C18" i="7" s="1"/>
  <c r="C9" i="2"/>
  <c r="D8" i="2"/>
  <c r="E8" i="2"/>
  <c r="F8" i="2"/>
  <c r="G8" i="2"/>
  <c r="C8" i="2"/>
  <c r="I2" i="3"/>
  <c r="J2" i="3"/>
  <c r="K2" i="3"/>
  <c r="L2" i="3"/>
  <c r="H2" i="3"/>
  <c r="D2" i="3"/>
  <c r="E2" i="3"/>
  <c r="F2" i="3"/>
  <c r="G2" i="3"/>
  <c r="C2" i="3"/>
  <c r="D36" i="2"/>
  <c r="E36" i="2"/>
  <c r="F36" i="2"/>
  <c r="G36" i="2"/>
  <c r="C36" i="2"/>
  <c r="D31" i="2"/>
  <c r="E31" i="2"/>
  <c r="F31" i="2"/>
  <c r="G31" i="2"/>
  <c r="C31" i="2"/>
  <c r="D26" i="2"/>
  <c r="E26" i="2"/>
  <c r="F26" i="2"/>
  <c r="G26" i="2"/>
  <c r="C26" i="2"/>
  <c r="D18" i="2"/>
  <c r="E18" i="2"/>
  <c r="F18" i="2"/>
  <c r="G18" i="2"/>
  <c r="C18" i="2"/>
  <c r="D12" i="2"/>
  <c r="E12" i="2"/>
  <c r="F12" i="2"/>
  <c r="G12" i="2"/>
  <c r="C12" i="2"/>
  <c r="E9" i="2"/>
  <c r="F9" i="2"/>
  <c r="G9" i="2"/>
  <c r="D9" i="2"/>
  <c r="L4" i="1"/>
  <c r="K4" i="1"/>
  <c r="J4" i="1"/>
  <c r="I4" i="1"/>
  <c r="H4" i="1"/>
  <c r="G4" i="1"/>
  <c r="F4" i="1"/>
  <c r="E4" i="1"/>
  <c r="D4" i="1"/>
  <c r="C4" i="1"/>
  <c r="F10" i="7" l="1"/>
  <c r="B26" i="10"/>
  <c r="G8" i="7"/>
  <c r="G23" i="7"/>
  <c r="E10" i="7"/>
  <c r="E23" i="7"/>
  <c r="E8" i="7"/>
  <c r="E20" i="7"/>
  <c r="D19" i="7"/>
  <c r="D23" i="7"/>
  <c r="D8" i="7"/>
  <c r="G15" i="7"/>
  <c r="F9" i="7"/>
  <c r="E9" i="7"/>
  <c r="G20" i="7"/>
  <c r="F19" i="7"/>
  <c r="F8" i="7"/>
  <c r="F20" i="7"/>
  <c r="E19" i="7"/>
  <c r="D10" i="7"/>
  <c r="F18" i="7"/>
  <c r="E18" i="7"/>
  <c r="C42" i="5"/>
  <c r="D18" i="7"/>
  <c r="C15" i="7"/>
  <c r="D9" i="7"/>
  <c r="F15" i="7"/>
  <c r="F6" i="6"/>
  <c r="C45" i="5"/>
  <c r="E8" i="5"/>
  <c r="D20" i="7"/>
  <c r="C20" i="7"/>
  <c r="C19" i="7"/>
  <c r="C10" i="7"/>
  <c r="E15" i="7"/>
  <c r="B23" i="10"/>
  <c r="G19" i="7"/>
  <c r="B24" i="10"/>
  <c r="G10" i="7"/>
  <c r="D15" i="7"/>
  <c r="C8" i="7"/>
  <c r="C23" i="7"/>
  <c r="J9" i="2"/>
  <c r="K6" i="1"/>
  <c r="K9" i="2" s="1"/>
  <c r="H6" i="1"/>
  <c r="I6" i="1"/>
  <c r="J6" i="1"/>
  <c r="L6" i="1"/>
  <c r="L9" i="2" s="1"/>
  <c r="J7" i="1"/>
  <c r="K7" i="1"/>
  <c r="I7" i="1"/>
  <c r="I12" i="2" s="1"/>
  <c r="L7" i="1"/>
  <c r="H7" i="1"/>
  <c r="C15" i="4"/>
  <c r="H12" i="2"/>
  <c r="L12" i="2"/>
  <c r="K12" i="2"/>
  <c r="I9" i="2"/>
  <c r="J12" i="2"/>
  <c r="B34" i="1"/>
  <c r="B36" i="1"/>
  <c r="D82" i="9"/>
  <c r="D83" i="9" s="1"/>
  <c r="D78" i="9"/>
  <c r="E78" i="9"/>
  <c r="F78" i="9"/>
  <c r="G78" i="9"/>
  <c r="C78" i="9"/>
  <c r="C80" i="9" s="1"/>
  <c r="D75" i="9"/>
  <c r="D17" i="1" s="1"/>
  <c r="E75" i="9"/>
  <c r="E17" i="1" s="1"/>
  <c r="F75" i="9"/>
  <c r="F17" i="1" s="1"/>
  <c r="G75" i="9"/>
  <c r="G17" i="1" s="1"/>
  <c r="C75" i="9"/>
  <c r="C17" i="1" s="1"/>
  <c r="E72" i="9"/>
  <c r="E13" i="4" s="1"/>
  <c r="F72" i="9"/>
  <c r="F13" i="4" s="1"/>
  <c r="G72" i="9"/>
  <c r="G13" i="4" s="1"/>
  <c r="D72" i="9"/>
  <c r="D13" i="4" s="1"/>
  <c r="G71" i="9"/>
  <c r="G12" i="4" s="1"/>
  <c r="E71" i="9"/>
  <c r="E12" i="4" s="1"/>
  <c r="F71" i="9"/>
  <c r="F12" i="4" s="1"/>
  <c r="D71" i="9"/>
  <c r="D12" i="4" s="1"/>
  <c r="E70" i="9"/>
  <c r="E11" i="4" s="1"/>
  <c r="F70" i="9"/>
  <c r="F11" i="4" s="1"/>
  <c r="G70" i="9"/>
  <c r="G11" i="4" s="1"/>
  <c r="D70" i="9"/>
  <c r="D11" i="4" s="1"/>
  <c r="C17" i="8"/>
  <c r="C19" i="8" s="1"/>
  <c r="D16" i="8" s="1"/>
  <c r="D19" i="8" s="1"/>
  <c r="E16" i="8" s="1"/>
  <c r="E19" i="8" s="1"/>
  <c r="F16" i="8" s="1"/>
  <c r="F19" i="8" s="1"/>
  <c r="G16" i="8" s="1"/>
  <c r="G19" i="8" s="1"/>
  <c r="H16" i="8" s="1"/>
  <c r="D14" i="8"/>
  <c r="E14" i="8"/>
  <c r="F14" i="8"/>
  <c r="G14" i="8"/>
  <c r="C14" i="8"/>
  <c r="C8" i="8"/>
  <c r="D5" i="8" s="1"/>
  <c r="D8" i="8" s="1"/>
  <c r="E5" i="8" s="1"/>
  <c r="E8" i="8" s="1"/>
  <c r="F5" i="8" s="1"/>
  <c r="F8" i="8" s="1"/>
  <c r="G8" i="8" s="1"/>
  <c r="D68" i="9"/>
  <c r="D8" i="4" s="1"/>
  <c r="E68" i="9"/>
  <c r="E8" i="4" s="1"/>
  <c r="F68" i="9"/>
  <c r="F8" i="4" s="1"/>
  <c r="G68" i="9"/>
  <c r="G8" i="4" s="1"/>
  <c r="G15" i="4" s="1"/>
  <c r="D66" i="9"/>
  <c r="D5" i="4" s="1"/>
  <c r="E66" i="9"/>
  <c r="E5" i="4" s="1"/>
  <c r="E15" i="4" s="1"/>
  <c r="F66" i="9"/>
  <c r="F5" i="4" s="1"/>
  <c r="G66" i="9"/>
  <c r="G5" i="4" s="1"/>
  <c r="C66" i="9"/>
  <c r="C5" i="4" s="1"/>
  <c r="D56" i="9"/>
  <c r="D30" i="3" s="1"/>
  <c r="E56" i="9"/>
  <c r="E30" i="3" s="1"/>
  <c r="F56" i="9"/>
  <c r="F30" i="3" s="1"/>
  <c r="G56" i="9"/>
  <c r="G30" i="3" s="1"/>
  <c r="C30" i="3"/>
  <c r="D46" i="9"/>
  <c r="E46" i="9"/>
  <c r="F46" i="9"/>
  <c r="G46" i="9"/>
  <c r="C46" i="9"/>
  <c r="C40" i="9"/>
  <c r="C14" i="3" s="1"/>
  <c r="D35" i="9"/>
  <c r="D9" i="3" s="1"/>
  <c r="E35" i="9"/>
  <c r="F35" i="9"/>
  <c r="F9" i="3" s="1"/>
  <c r="G35" i="9"/>
  <c r="G9" i="3" s="1"/>
  <c r="C35" i="9"/>
  <c r="C9" i="3" s="1"/>
  <c r="C11" i="7" l="1"/>
  <c r="E22" i="4"/>
  <c r="E24" i="4" s="1"/>
  <c r="E80" i="9"/>
  <c r="E20" i="1"/>
  <c r="F15" i="4"/>
  <c r="D15" i="4"/>
  <c r="C24" i="5"/>
  <c r="E9" i="5"/>
  <c r="G6" i="6" s="1"/>
  <c r="C25" i="5"/>
  <c r="C26" i="5" s="1"/>
  <c r="O18" i="6"/>
  <c r="N18" i="6"/>
  <c r="M18" i="6"/>
  <c r="F22" i="4"/>
  <c r="F24" i="4" s="1"/>
  <c r="F80" i="9"/>
  <c r="F20" i="1"/>
  <c r="D4" i="7"/>
  <c r="D22" i="4"/>
  <c r="D24" i="4" s="1"/>
  <c r="D80" i="9"/>
  <c r="D20" i="1"/>
  <c r="B25" i="10"/>
  <c r="G4" i="7"/>
  <c r="G22" i="4"/>
  <c r="G24" i="4" s="1"/>
  <c r="G80" i="9"/>
  <c r="G20" i="1"/>
  <c r="E82" i="9"/>
  <c r="E83" i="9" s="1"/>
  <c r="D28" i="4"/>
  <c r="E27" i="4" s="1"/>
  <c r="C18" i="4"/>
  <c r="F18" i="4"/>
  <c r="E18" i="4"/>
  <c r="D18" i="4"/>
  <c r="G18" i="4"/>
  <c r="C22" i="4"/>
  <c r="C24" i="4" s="1"/>
  <c r="H9" i="2"/>
  <c r="H8" i="2" s="1"/>
  <c r="G51" i="9"/>
  <c r="G25" i="3" s="1"/>
  <c r="G20" i="3"/>
  <c r="D51" i="9"/>
  <c r="D25" i="3" s="1"/>
  <c r="D20" i="3"/>
  <c r="F51" i="9"/>
  <c r="F25" i="3" s="1"/>
  <c r="F20" i="3"/>
  <c r="E51" i="9"/>
  <c r="E25" i="3" s="1"/>
  <c r="E32" i="3" s="1"/>
  <c r="E20" i="3"/>
  <c r="E5" i="7" s="1"/>
  <c r="E40" i="9"/>
  <c r="E14" i="3" s="1"/>
  <c r="E9" i="3"/>
  <c r="E4" i="7" s="1"/>
  <c r="C51" i="9"/>
  <c r="C25" i="3" s="1"/>
  <c r="C32" i="3" s="1"/>
  <c r="C33" i="3" s="1"/>
  <c r="C20" i="3"/>
  <c r="C5" i="7" s="1"/>
  <c r="C76" i="9"/>
  <c r="C19" i="4" s="1"/>
  <c r="G76" i="9"/>
  <c r="G19" i="4" s="1"/>
  <c r="F76" i="9"/>
  <c r="F19" i="4" s="1"/>
  <c r="E76" i="9"/>
  <c r="E19" i="4" s="1"/>
  <c r="D76" i="9"/>
  <c r="D19" i="4" s="1"/>
  <c r="C73" i="9"/>
  <c r="E73" i="9"/>
  <c r="D73" i="9"/>
  <c r="G73" i="9"/>
  <c r="F73" i="9"/>
  <c r="F58" i="9"/>
  <c r="F59" i="9" s="1"/>
  <c r="G32" i="3" l="1"/>
  <c r="G33" i="3" s="1"/>
  <c r="G14" i="7"/>
  <c r="G58" i="9"/>
  <c r="G59" i="9" s="1"/>
  <c r="D35" i="5"/>
  <c r="E35" i="5"/>
  <c r="F35" i="5"/>
  <c r="G35" i="5"/>
  <c r="H35" i="5"/>
  <c r="F32" i="3"/>
  <c r="F33" i="3" s="1"/>
  <c r="F14" i="7"/>
  <c r="D32" i="3"/>
  <c r="D33" i="3" s="1"/>
  <c r="D14" i="7"/>
  <c r="G11" i="7"/>
  <c r="G5" i="7"/>
  <c r="C14" i="7"/>
  <c r="C4" i="7"/>
  <c r="E14" i="7"/>
  <c r="E11" i="7"/>
  <c r="E33" i="3"/>
  <c r="F11" i="7"/>
  <c r="F5" i="7"/>
  <c r="D11" i="7"/>
  <c r="D5" i="7"/>
  <c r="F4" i="7"/>
  <c r="E58" i="9"/>
  <c r="E59" i="9" s="1"/>
  <c r="F82" i="9"/>
  <c r="F83" i="9" s="1"/>
  <c r="E28" i="4"/>
  <c r="F27" i="4" s="1"/>
  <c r="H25" i="2"/>
  <c r="I6" i="6"/>
  <c r="M17" i="6" s="1"/>
  <c r="M19" i="6" s="1"/>
  <c r="M21" i="6" s="1"/>
  <c r="I8" i="2"/>
  <c r="H30" i="2"/>
  <c r="H17" i="2"/>
  <c r="H6" i="3"/>
  <c r="H11" i="4" s="1"/>
  <c r="H6" i="8"/>
  <c r="H18" i="4" s="1"/>
  <c r="D18" i="5" s="1"/>
  <c r="H11" i="2"/>
  <c r="H14" i="2" s="1"/>
  <c r="C58" i="9"/>
  <c r="C59" i="9" s="1"/>
  <c r="D58" i="9"/>
  <c r="D59" i="9" s="1"/>
  <c r="H7" i="3" l="1"/>
  <c r="H12" i="4" s="1"/>
  <c r="H17" i="3"/>
  <c r="H13" i="4" s="1"/>
  <c r="D19" i="5" s="1"/>
  <c r="G82" i="9"/>
  <c r="G83" i="9" s="1"/>
  <c r="G28" i="4" s="1"/>
  <c r="H27" i="4" s="1"/>
  <c r="F28" i="4"/>
  <c r="G27" i="4" s="1"/>
  <c r="H9" i="7"/>
  <c r="H20" i="2"/>
  <c r="H18" i="7"/>
  <c r="J8" i="2"/>
  <c r="J6" i="8" s="1"/>
  <c r="J18" i="4" s="1"/>
  <c r="I25" i="2"/>
  <c r="H19" i="7"/>
  <c r="J6" i="3"/>
  <c r="J17" i="2"/>
  <c r="H8" i="8"/>
  <c r="I5" i="8" s="1"/>
  <c r="I7" i="8" s="1"/>
  <c r="I22" i="2" s="1"/>
  <c r="E17" i="5" s="1"/>
  <c r="I6" i="3"/>
  <c r="I11" i="4" s="1"/>
  <c r="I11" i="2"/>
  <c r="I6" i="8"/>
  <c r="I18" i="4" s="1"/>
  <c r="I17" i="2"/>
  <c r="I30" i="2"/>
  <c r="H19" i="4"/>
  <c r="H20" i="3"/>
  <c r="H25" i="3" s="1"/>
  <c r="J19" i="4" l="1"/>
  <c r="F18" i="5"/>
  <c r="I19" i="4"/>
  <c r="E18" i="5"/>
  <c r="K8" i="2"/>
  <c r="K25" i="2" s="1"/>
  <c r="J30" i="2"/>
  <c r="J11" i="2"/>
  <c r="J7" i="3" s="1"/>
  <c r="K17" i="2"/>
  <c r="K11" i="2"/>
  <c r="K7" i="3" s="1"/>
  <c r="K12" i="4" s="1"/>
  <c r="L8" i="2"/>
  <c r="H10" i="7"/>
  <c r="J6" i="6"/>
  <c r="N17" i="6" s="1"/>
  <c r="N19" i="6" s="1"/>
  <c r="N21" i="6" s="1"/>
  <c r="H28" i="2"/>
  <c r="D15" i="5" s="1"/>
  <c r="D16" i="5" s="1"/>
  <c r="I14" i="2"/>
  <c r="I19" i="7"/>
  <c r="J25" i="2"/>
  <c r="J19" i="7"/>
  <c r="H12" i="3"/>
  <c r="H20" i="7" s="1"/>
  <c r="J11" i="4"/>
  <c r="I17" i="3"/>
  <c r="I7" i="3"/>
  <c r="I12" i="4" s="1"/>
  <c r="I8" i="8"/>
  <c r="E19" i="5" l="1"/>
  <c r="L17" i="2"/>
  <c r="C23" i="10"/>
  <c r="L11" i="2"/>
  <c r="L14" i="2" s="1"/>
  <c r="K17" i="3"/>
  <c r="K20" i="3" s="1"/>
  <c r="K25" i="3" s="1"/>
  <c r="K14" i="2"/>
  <c r="K20" i="2" s="1"/>
  <c r="K10" i="7" s="1"/>
  <c r="K6" i="8"/>
  <c r="K18" i="4" s="1"/>
  <c r="J14" i="2"/>
  <c r="J9" i="7" s="1"/>
  <c r="K6" i="3"/>
  <c r="K11" i="4" s="1"/>
  <c r="J18" i="7"/>
  <c r="K30" i="2"/>
  <c r="J17" i="3"/>
  <c r="J20" i="3" s="1"/>
  <c r="J25" i="3" s="1"/>
  <c r="L6" i="3"/>
  <c r="L19" i="7" s="1"/>
  <c r="L6" i="8"/>
  <c r="L18" i="4" s="1"/>
  <c r="H18" i="5" s="1"/>
  <c r="L30" i="2"/>
  <c r="L25" i="2"/>
  <c r="K18" i="7"/>
  <c r="I18" i="7"/>
  <c r="I9" i="7"/>
  <c r="I20" i="2"/>
  <c r="I10" i="7" s="1"/>
  <c r="H15" i="7"/>
  <c r="H33" i="2"/>
  <c r="H35" i="2" s="1"/>
  <c r="J12" i="4"/>
  <c r="I13" i="4"/>
  <c r="I20" i="3"/>
  <c r="I25" i="3" s="1"/>
  <c r="J5" i="8"/>
  <c r="J7" i="8" s="1"/>
  <c r="J22" i="2" s="1"/>
  <c r="F17" i="5" s="1"/>
  <c r="I12" i="3"/>
  <c r="I20" i="7" s="1"/>
  <c r="I8" i="4"/>
  <c r="L17" i="3"/>
  <c r="K19" i="7" l="1"/>
  <c r="J20" i="2"/>
  <c r="J10" i="7" s="1"/>
  <c r="K19" i="4"/>
  <c r="G18" i="5"/>
  <c r="L7" i="3"/>
  <c r="L12" i="4" s="1"/>
  <c r="J13" i="4"/>
  <c r="F19" i="5" s="1"/>
  <c r="K13" i="4"/>
  <c r="G19" i="5" s="1"/>
  <c r="K9" i="7"/>
  <c r="I28" i="2"/>
  <c r="E15" i="5" s="1"/>
  <c r="E16" i="5" s="1"/>
  <c r="L11" i="4"/>
  <c r="H19" i="5" s="1"/>
  <c r="L19" i="4"/>
  <c r="L20" i="2"/>
  <c r="L9" i="7"/>
  <c r="I15" i="7"/>
  <c r="D20" i="5"/>
  <c r="H38" i="2"/>
  <c r="K6" i="6" s="1"/>
  <c r="O17" i="6" s="1"/>
  <c r="O19" i="6" s="1"/>
  <c r="O21" i="6" s="1"/>
  <c r="J8" i="8"/>
  <c r="J8" i="4"/>
  <c r="J28" i="2"/>
  <c r="F15" i="5" s="1"/>
  <c r="F16" i="5" s="1"/>
  <c r="L13" i="4"/>
  <c r="L20" i="3"/>
  <c r="L25" i="3" s="1"/>
  <c r="C24" i="10" l="1"/>
  <c r="C25" i="10" s="1"/>
  <c r="H29" i="5"/>
  <c r="H30" i="5" s="1"/>
  <c r="I33" i="2"/>
  <c r="D36" i="5"/>
  <c r="B27" i="10"/>
  <c r="L18" i="7"/>
  <c r="H17" i="8"/>
  <c r="J15" i="7"/>
  <c r="H5" i="4"/>
  <c r="H15" i="4" s="1"/>
  <c r="H23" i="7"/>
  <c r="H24" i="7" s="1"/>
  <c r="H8" i="7"/>
  <c r="L10" i="7"/>
  <c r="J33" i="2"/>
  <c r="I35" i="2"/>
  <c r="E20" i="5" s="1"/>
  <c r="E36" i="5" s="1"/>
  <c r="K5" i="8"/>
  <c r="K7" i="8" s="1"/>
  <c r="K22" i="2" s="1"/>
  <c r="G17" i="5" s="1"/>
  <c r="J12" i="3"/>
  <c r="J20" i="7" s="1"/>
  <c r="H18" i="8" l="1"/>
  <c r="H22" i="4" s="1"/>
  <c r="H24" i="4" s="1"/>
  <c r="H26" i="4" s="1"/>
  <c r="H28" i="4" s="1"/>
  <c r="I27" i="4" s="1"/>
  <c r="I38" i="2"/>
  <c r="J35" i="2"/>
  <c r="F20" i="5" s="1"/>
  <c r="F36" i="5" s="1"/>
  <c r="H5" i="3" l="1"/>
  <c r="H9" i="3" s="1"/>
  <c r="H14" i="3" s="1"/>
  <c r="H19" i="8"/>
  <c r="I16" i="8" s="1"/>
  <c r="I23" i="7"/>
  <c r="I8" i="7"/>
  <c r="I5" i="4"/>
  <c r="I15" i="4" s="1"/>
  <c r="I17" i="8"/>
  <c r="J38" i="2"/>
  <c r="K8" i="4"/>
  <c r="K28" i="2"/>
  <c r="G15" i="5" s="1"/>
  <c r="G16" i="5" s="1"/>
  <c r="K8" i="8"/>
  <c r="H5" i="7" l="1"/>
  <c r="H4" i="7"/>
  <c r="H29" i="3"/>
  <c r="H30" i="3" s="1"/>
  <c r="H32" i="3" s="1"/>
  <c r="H33" i="3" s="1"/>
  <c r="J23" i="7"/>
  <c r="J8" i="7"/>
  <c r="K15" i="7"/>
  <c r="H14" i="7"/>
  <c r="H11" i="7"/>
  <c r="K33" i="2"/>
  <c r="I18" i="8"/>
  <c r="I22" i="4" s="1"/>
  <c r="I24" i="4" s="1"/>
  <c r="I26" i="4" s="1"/>
  <c r="I28" i="4" s="1"/>
  <c r="J5" i="4"/>
  <c r="J15" i="4" s="1"/>
  <c r="J17" i="8"/>
  <c r="J18" i="8" s="1"/>
  <c r="J22" i="4" s="1"/>
  <c r="J24" i="4" s="1"/>
  <c r="L5" i="8"/>
  <c r="L7" i="8" s="1"/>
  <c r="L22" i="2" s="1"/>
  <c r="H17" i="5" s="1"/>
  <c r="K12" i="3"/>
  <c r="K20" i="7" s="1"/>
  <c r="I19" i="8" l="1"/>
  <c r="I29" i="3" s="1"/>
  <c r="I30" i="3" s="1"/>
  <c r="I32" i="3" s="1"/>
  <c r="J27" i="4"/>
  <c r="I5" i="3"/>
  <c r="K35" i="2"/>
  <c r="G20" i="5" s="1"/>
  <c r="G36" i="5" s="1"/>
  <c r="J26" i="4"/>
  <c r="L8" i="8"/>
  <c r="L12" i="3" s="1"/>
  <c r="L20" i="7" s="1"/>
  <c r="I9" i="3" l="1"/>
  <c r="I5" i="7"/>
  <c r="J16" i="8"/>
  <c r="J19" i="8" s="1"/>
  <c r="K16" i="8" s="1"/>
  <c r="J28" i="4"/>
  <c r="K38" i="2"/>
  <c r="L28" i="2"/>
  <c r="H15" i="5" s="1"/>
  <c r="H16" i="5" s="1"/>
  <c r="L8" i="4"/>
  <c r="I14" i="3" l="1"/>
  <c r="I4" i="7"/>
  <c r="L15" i="7"/>
  <c r="K23" i="7"/>
  <c r="K8" i="7"/>
  <c r="J29" i="3"/>
  <c r="J30" i="3" s="1"/>
  <c r="J32" i="3" s="1"/>
  <c r="L33" i="2"/>
  <c r="K5" i="4"/>
  <c r="K15" i="4" s="1"/>
  <c r="K17" i="8"/>
  <c r="K18" i="8" s="1"/>
  <c r="K22" i="4" s="1"/>
  <c r="K24" i="4" s="1"/>
  <c r="J5" i="3"/>
  <c r="K27" i="4"/>
  <c r="J9" i="3" l="1"/>
  <c r="J5" i="7"/>
  <c r="I14" i="7"/>
  <c r="I11" i="7"/>
  <c r="I33" i="3"/>
  <c r="K19" i="8"/>
  <c r="K29" i="3" s="1"/>
  <c r="K30" i="3" s="1"/>
  <c r="K32" i="3" s="1"/>
  <c r="K26" i="4"/>
  <c r="K28" i="4" s="1"/>
  <c r="L35" i="2"/>
  <c r="H20" i="5" s="1"/>
  <c r="H31" i="5" l="1"/>
  <c r="H32" i="5" s="1"/>
  <c r="H37" i="5" s="1"/>
  <c r="H36" i="5"/>
  <c r="J14" i="3"/>
  <c r="J4" i="7"/>
  <c r="L16" i="8"/>
  <c r="L38" i="2"/>
  <c r="C26" i="10" s="1"/>
  <c r="K5" i="3"/>
  <c r="L27" i="4"/>
  <c r="K9" i="3" l="1"/>
  <c r="K5" i="7"/>
  <c r="L8" i="7"/>
  <c r="L23" i="7"/>
  <c r="J14" i="7"/>
  <c r="J11" i="7"/>
  <c r="J33" i="3"/>
  <c r="C38" i="5"/>
  <c r="C46" i="5" s="1"/>
  <c r="C49" i="5" s="1"/>
  <c r="L5" i="4"/>
  <c r="L15" i="4" s="1"/>
  <c r="L17" i="8"/>
  <c r="K14" i="3" l="1"/>
  <c r="K4" i="7"/>
  <c r="L5" i="5"/>
  <c r="L18" i="8"/>
  <c r="L22" i="4" s="1"/>
  <c r="L24" i="4" s="1"/>
  <c r="L26" i="4" s="1"/>
  <c r="L28" i="4" s="1"/>
  <c r="L5" i="3" s="1"/>
  <c r="K33" i="3" l="1"/>
  <c r="K14" i="7"/>
  <c r="K11" i="7"/>
  <c r="L9" i="3"/>
  <c r="L5" i="7"/>
  <c r="L19" i="8"/>
  <c r="L29" i="3" s="1"/>
  <c r="L30" i="3" s="1"/>
  <c r="L32" i="3" s="1"/>
  <c r="L14" i="3" l="1"/>
  <c r="L4" i="7"/>
  <c r="L14" i="7" l="1"/>
  <c r="L11" i="7"/>
  <c r="L33" i="3"/>
</calcChain>
</file>

<file path=xl/sharedStrings.xml><?xml version="1.0" encoding="utf-8"?>
<sst xmlns="http://schemas.openxmlformats.org/spreadsheetml/2006/main" count="507" uniqueCount="312">
  <si>
    <t>Integrated Financial Statements</t>
  </si>
  <si>
    <t>(IN Crores)</t>
  </si>
  <si>
    <t>Historical</t>
  </si>
  <si>
    <t>Projected</t>
  </si>
  <si>
    <t>INCOME STATEMENT</t>
  </si>
  <si>
    <t>Revenue</t>
  </si>
  <si>
    <t>Growth (%)</t>
  </si>
  <si>
    <t>Cost of Goods Sold</t>
  </si>
  <si>
    <t>% of Rev.</t>
  </si>
  <si>
    <t>Gross Profit</t>
  </si>
  <si>
    <t>Operating Expenses (SG&amp;A)</t>
  </si>
  <si>
    <t xml:space="preserve"> (EBITDA)</t>
  </si>
  <si>
    <t>Depreciation &amp; Ammortization</t>
  </si>
  <si>
    <t>Earning Before Interest &amp; Tax (EBIT)</t>
  </si>
  <si>
    <t>Other Incomes</t>
  </si>
  <si>
    <t>Interest Expense</t>
  </si>
  <si>
    <t>Earning Before Tax (EBT)</t>
  </si>
  <si>
    <t>Income Tax Expense</t>
  </si>
  <si>
    <t>Tax Rate</t>
  </si>
  <si>
    <t>Net Income</t>
  </si>
  <si>
    <t>COMPANY NAME</t>
  </si>
  <si>
    <t>LATEST VERSION</t>
  </si>
  <si>
    <t>CURRENT VERSION</t>
  </si>
  <si>
    <t>META</t>
  </si>
  <si>
    <t>Number of shares</t>
  </si>
  <si>
    <t>Face Value</t>
  </si>
  <si>
    <t>Current Price</t>
  </si>
  <si>
    <t>Market Capitalization</t>
  </si>
  <si>
    <t xml:space="preserve"> </t>
  </si>
  <si>
    <t>BALANCE SHEET</t>
  </si>
  <si>
    <t>Current Assets</t>
  </si>
  <si>
    <t>Accounts Receivable</t>
  </si>
  <si>
    <t>Inventory</t>
  </si>
  <si>
    <t>Total Current Assets</t>
  </si>
  <si>
    <t>TOTAL ASSETS</t>
  </si>
  <si>
    <t>TOTAL LIABILITIES</t>
  </si>
  <si>
    <t>Common Stock</t>
  </si>
  <si>
    <t>Additional Paid In Capital</t>
  </si>
  <si>
    <t>Retained Earnings</t>
  </si>
  <si>
    <t>TOTAL EQUITY</t>
  </si>
  <si>
    <t>TOTAL LIABILITIES &amp; EQUITY</t>
  </si>
  <si>
    <t>Check</t>
  </si>
  <si>
    <t>CASH FLOW STATEMENT</t>
  </si>
  <si>
    <t>PROFIT &amp; LOSS</t>
  </si>
  <si>
    <t>Report Date</t>
  </si>
  <si>
    <t>Equity Share Capital</t>
  </si>
  <si>
    <t>HINDUSTAN UNILEVER LTD</t>
  </si>
  <si>
    <t>CASH FLOW:</t>
  </si>
  <si>
    <t>Net Cash Flow</t>
  </si>
  <si>
    <t>PRICE:</t>
  </si>
  <si>
    <t>DERIVED:</t>
  </si>
  <si>
    <t>Adjusted Equity Shares in Cr</t>
  </si>
  <si>
    <t>-</t>
  </si>
  <si>
    <t>% of REV</t>
  </si>
  <si>
    <t>CASH FLOW FROM OPERATING ACTIVITIES</t>
  </si>
  <si>
    <t>Add Back Non-Cash Items</t>
  </si>
  <si>
    <t>Changes in Working Capital</t>
  </si>
  <si>
    <t>Accounts Payable</t>
  </si>
  <si>
    <t>Net Cash Provided by Operating Activities</t>
  </si>
  <si>
    <t>CASH FLOW FROM INVESTING ACTIVITIES</t>
  </si>
  <si>
    <t>Capital Expenditures - Purchase of PP&amp;E</t>
  </si>
  <si>
    <t>Net Cash Used in Investing Activities</t>
  </si>
  <si>
    <t>CASH FLOW FROM FINANCING ACTIVITIES</t>
  </si>
  <si>
    <t>Long Term Debt</t>
  </si>
  <si>
    <t>Net Cash Provided by (Used in) Fnce Activities</t>
  </si>
  <si>
    <t>Beginning Cash Balance</t>
  </si>
  <si>
    <t>Ending Cash Balance</t>
  </si>
  <si>
    <t>Depreciation Schedule</t>
  </si>
  <si>
    <t>PPE Opening</t>
  </si>
  <si>
    <t>Plus Capex</t>
  </si>
  <si>
    <t>Less Depreciation</t>
  </si>
  <si>
    <t>PPE Closing</t>
  </si>
  <si>
    <t>Share capital &amp; Retained Earnings Schedule</t>
  </si>
  <si>
    <t>beginning Reserves</t>
  </si>
  <si>
    <t>Add: Net profit</t>
  </si>
  <si>
    <t>less Dividend paid</t>
  </si>
  <si>
    <t>Ending Reseves&amp;Surplus</t>
  </si>
  <si>
    <t>Assumptions&amp;Drivers</t>
  </si>
  <si>
    <t>Income Statement Assumptions</t>
  </si>
  <si>
    <t>Revenue Growth %</t>
  </si>
  <si>
    <t>Cost of Goods Sold (% of Revenue)</t>
  </si>
  <si>
    <t>gross profit Mrgin %</t>
  </si>
  <si>
    <t>Operating Expenses SG&amp;A (% of Revenue)</t>
  </si>
  <si>
    <t>Other  Income (% of Rev)</t>
  </si>
  <si>
    <t>Tax Rate (% of Earnings Before Tax)</t>
  </si>
  <si>
    <t>Accounts Receivable (Days)</t>
  </si>
  <si>
    <t>Inventory (Days)</t>
  </si>
  <si>
    <t>Accounts Payable/other CL days (Days)</t>
  </si>
  <si>
    <t>Debt Issuance (Repayment)</t>
  </si>
  <si>
    <t>Equity Issued (Repaid) ($000's)</t>
  </si>
  <si>
    <t>Dividend Payout %</t>
  </si>
  <si>
    <t>Days in Period</t>
  </si>
  <si>
    <t>Cash</t>
  </si>
  <si>
    <t>Prepaid Expenses</t>
  </si>
  <si>
    <t>Fixed Assets</t>
  </si>
  <si>
    <t>PP&amp;E, Net of Accum. Depreciation</t>
  </si>
  <si>
    <t>Current Liabilities</t>
  </si>
  <si>
    <t>Line of Credit</t>
  </si>
  <si>
    <t>Current Maturities of Long Term Debt</t>
  </si>
  <si>
    <t>Total Current Liabilities</t>
  </si>
  <si>
    <t>Long Term Liabilities</t>
  </si>
  <si>
    <t>Long Term Debt, Net of Current Maturities</t>
  </si>
  <si>
    <t>Depreciation &amp; Amortization</t>
  </si>
  <si>
    <t>Dividend paid</t>
  </si>
  <si>
    <t>Historical Results</t>
  </si>
  <si>
    <t>Forecast Period</t>
  </si>
  <si>
    <t>2021A</t>
  </si>
  <si>
    <t>2022A</t>
  </si>
  <si>
    <t>2023A</t>
  </si>
  <si>
    <t>2024A</t>
  </si>
  <si>
    <t>2025A</t>
  </si>
  <si>
    <t>2026F</t>
  </si>
  <si>
    <t>2027F</t>
  </si>
  <si>
    <t>2028F</t>
  </si>
  <si>
    <t>2029F</t>
  </si>
  <si>
    <t>2030F</t>
  </si>
  <si>
    <t>Capital Expenditures (% of PPE)</t>
  </si>
  <si>
    <t>Revenue Fluctuations assumption</t>
  </si>
  <si>
    <t>Bear Case</t>
  </si>
  <si>
    <t>Base Case</t>
  </si>
  <si>
    <t>(Three cases added via dropdown  i.e base, bull, bear)</t>
  </si>
  <si>
    <t>Bull Case</t>
  </si>
  <si>
    <t>Bull and Bear cases are prepared by adding 3% the expected growth rate and subtracting 3% respectively</t>
  </si>
  <si>
    <t>Cost Fluctuation Assumption</t>
  </si>
  <si>
    <t>Interest(%of rev)</t>
  </si>
  <si>
    <t>The variation of formulas and linking will only be in Hiatoricals as the Data are from trading platforms</t>
  </si>
  <si>
    <r>
      <t xml:space="preserve">Discounted Cash Flow Full </t>
    </r>
    <r>
      <rPr>
        <b/>
        <i/>
        <sz val="12"/>
        <color rgb="FF000000"/>
        <rFont val="Calibri"/>
        <family val="2"/>
      </rPr>
      <t>(data in Rs. Crores)</t>
    </r>
  </si>
  <si>
    <t>Assumptions pt1</t>
  </si>
  <si>
    <t>Assumptions pt2</t>
  </si>
  <si>
    <t>Growth rate</t>
  </si>
  <si>
    <t>Beta</t>
  </si>
  <si>
    <t>Market Return</t>
  </si>
  <si>
    <t>Cost of Debt</t>
  </si>
  <si>
    <t>Equity value</t>
  </si>
  <si>
    <t>Debt value</t>
  </si>
  <si>
    <t>10y Treasury</t>
  </si>
  <si>
    <t>Period</t>
  </si>
  <si>
    <t>Free Cash Flows</t>
  </si>
  <si>
    <t>EBIT</t>
  </si>
  <si>
    <t>Tax</t>
  </si>
  <si>
    <t>D&amp;A</t>
  </si>
  <si>
    <t>CapEx</t>
  </si>
  <si>
    <t>Non-cash Work. Capital (inc) / dec</t>
  </si>
  <si>
    <t>FCF</t>
  </si>
  <si>
    <t>WACC</t>
  </si>
  <si>
    <t>Cost of Equity</t>
  </si>
  <si>
    <t>(CAPM Formula)</t>
  </si>
  <si>
    <t>D/D+E</t>
  </si>
  <si>
    <t>E/D+E</t>
  </si>
  <si>
    <t>(Apply WACC Formula)</t>
  </si>
  <si>
    <t>Terminal Value</t>
  </si>
  <si>
    <t>EBITDA</t>
  </si>
  <si>
    <t>Perpetuity Growth</t>
  </si>
  <si>
    <t>Average</t>
  </si>
  <si>
    <t>Enterprise Value to Equity Value</t>
  </si>
  <si>
    <t>Marketable Securities</t>
  </si>
  <si>
    <t>Short term Debt</t>
  </si>
  <si>
    <t>Long term Debt</t>
  </si>
  <si>
    <t>Equity Value</t>
  </si>
  <si>
    <t>Shares Outstanding</t>
  </si>
  <si>
    <t>Implied Share Price</t>
  </si>
  <si>
    <t>DCF Valuation Data –  Hindustan Unilever</t>
  </si>
  <si>
    <t>Enterprise Value</t>
  </si>
  <si>
    <t>EV/EBITDA Multiple(In times)</t>
  </si>
  <si>
    <t xml:space="preserve">Formula used </t>
  </si>
  <si>
    <t>Enterprize value=Equity Value+Total Debt-Cash</t>
  </si>
  <si>
    <t>Cost of Equity= Rf+B(Rm-Rf), Where Rf is Risk free rate, Rm=Market returns</t>
  </si>
  <si>
    <t>PV of TV</t>
  </si>
  <si>
    <t>PV of FCF</t>
  </si>
  <si>
    <t>Discount Factor</t>
  </si>
  <si>
    <t>Discounting</t>
  </si>
  <si>
    <t>Terminal Value (Exit Multiple)</t>
  </si>
  <si>
    <t>market price of share</t>
  </si>
  <si>
    <t>% of PPe</t>
  </si>
  <si>
    <t>Depreciation &amp; Amortization (% of PPE)</t>
  </si>
  <si>
    <t>Step 1</t>
  </si>
  <si>
    <t>Step 2</t>
  </si>
  <si>
    <t>Step 3</t>
  </si>
  <si>
    <t>Step 4</t>
  </si>
  <si>
    <t>Step 5</t>
  </si>
  <si>
    <t>Sensitivity Analysis</t>
  </si>
  <si>
    <t>Growth Rates</t>
  </si>
  <si>
    <t>Scenario Analysis</t>
  </si>
  <si>
    <t>Growth Rate</t>
  </si>
  <si>
    <t>EV/EBITDA Multiple</t>
  </si>
  <si>
    <t>Dropdowns for both is created in the assumptions part respectiverly</t>
  </si>
  <si>
    <t>Original</t>
  </si>
  <si>
    <t>Implied SharePrice</t>
  </si>
  <si>
    <t>Comparable Companies Analysis</t>
  </si>
  <si>
    <t>All the information is taken of FY25</t>
  </si>
  <si>
    <t>(Amounts in Crores)</t>
  </si>
  <si>
    <t>Market Data</t>
  </si>
  <si>
    <t>Financials</t>
  </si>
  <si>
    <t>Valuation</t>
  </si>
  <si>
    <t>EV= Equity value+Total Debt+ prefferd value-cash &amp; cash equivallance</t>
  </si>
  <si>
    <t>Company</t>
  </si>
  <si>
    <t xml:space="preserve">Share Price </t>
  </si>
  <si>
    <t>Equity Value(In crores)</t>
  </si>
  <si>
    <t>Net Debt(in crores)</t>
  </si>
  <si>
    <t>Enterprise Value ( in crores)</t>
  </si>
  <si>
    <t>Revenue(in crores)</t>
  </si>
  <si>
    <t>EBITDA(in Crores)</t>
  </si>
  <si>
    <t>Net Income(in crores)</t>
  </si>
  <si>
    <t>EV/Revenue</t>
  </si>
  <si>
    <t>EV/EBITDA</t>
  </si>
  <si>
    <t>P/E</t>
  </si>
  <si>
    <t>Net Debt = Total Debt- Cash&amp; Cash Equivallance</t>
  </si>
  <si>
    <t>HUL</t>
  </si>
  <si>
    <t>Godrej Consumer Products</t>
  </si>
  <si>
    <t>Colgate Palmolive</t>
  </si>
  <si>
    <t>Dabur</t>
  </si>
  <si>
    <t>Proctor &amp; Gamble</t>
  </si>
  <si>
    <t>Median</t>
  </si>
  <si>
    <t>Elvy FMCG Valuation</t>
  </si>
  <si>
    <t>Implied Enterprise Value</t>
  </si>
  <si>
    <t>Net Debt</t>
  </si>
  <si>
    <t>Implied Market Value</t>
  </si>
  <si>
    <t>in crores</t>
  </si>
  <si>
    <t>Implied Value Per Share</t>
  </si>
  <si>
    <t>ITC</t>
  </si>
  <si>
    <t xml:space="preserve">Shares Outstanding </t>
  </si>
  <si>
    <t>Ratio Analysis</t>
  </si>
  <si>
    <t>liquidity Ratios</t>
  </si>
  <si>
    <t>Current Ratio</t>
  </si>
  <si>
    <t>Quick Ratio</t>
  </si>
  <si>
    <t>Profitability Ratios</t>
  </si>
  <si>
    <t>Net Profit Ratio</t>
  </si>
  <si>
    <t>Gross Profit Ratio</t>
  </si>
  <si>
    <t>Operating profit Ratio</t>
  </si>
  <si>
    <t xml:space="preserve">ROCE </t>
  </si>
  <si>
    <t>Solvency Ratios</t>
  </si>
  <si>
    <t>Debt Equity Ratio</t>
  </si>
  <si>
    <t>Interest Coverage Ratio</t>
  </si>
  <si>
    <t>Turnover Ratios</t>
  </si>
  <si>
    <t xml:space="preserve">Inventory turnover </t>
  </si>
  <si>
    <t>Debtor turnover</t>
  </si>
  <si>
    <t>Fixed assets turnover</t>
  </si>
  <si>
    <t>EPS</t>
  </si>
  <si>
    <t>P/E Ratio</t>
  </si>
  <si>
    <t>Market value of shares</t>
  </si>
  <si>
    <t>HINDUSTAN UNILEVER LIMITED (HUL) – VALUATION SUMMARY</t>
  </si>
  <si>
    <t>FMVA Financial Model | Valuation overview based on DCF and Comparable Companies Analysis | ₹ crore except per share data</t>
  </si>
  <si>
    <t>1. VALUATION OVERVIEW</t>
  </si>
  <si>
    <t>Method</t>
  </si>
  <si>
    <t>Implied Value / Share</t>
  </si>
  <si>
    <t>Vs. Market Price</t>
  </si>
  <si>
    <t>Valuation Signal</t>
  </si>
  <si>
    <t>Key Market &amp; Reference Metrics</t>
  </si>
  <si>
    <t>DCF</t>
  </si>
  <si>
    <t>Downside</t>
  </si>
  <si>
    <t>Market Price / Share</t>
  </si>
  <si>
    <t>CCA – EV / Revenue</t>
  </si>
  <si>
    <t>Upside</t>
  </si>
  <si>
    <t>CCA Central Value (avg.)</t>
  </si>
  <si>
    <t>CCA – EV / EBITDA</t>
  </si>
  <si>
    <t>CCA Valuation Low</t>
  </si>
  <si>
    <t>CCA – P / E</t>
  </si>
  <si>
    <t>CCA Valuation High</t>
  </si>
  <si>
    <t>Market Price</t>
  </si>
  <si>
    <t>Reference</t>
  </si>
  <si>
    <t>Overall Valuation Low</t>
  </si>
  <si>
    <t>Overall Valuation High</t>
  </si>
  <si>
    <t>2. DCF KEY ASSUMPTIONS</t>
  </si>
  <si>
    <t>Assumption</t>
  </si>
  <si>
    <t>Model Value</t>
  </si>
  <si>
    <t>Purpose</t>
  </si>
  <si>
    <t>Source</t>
  </si>
  <si>
    <t>ILLUSTRATIVE 50 / 50 REFERENCE VALUE</t>
  </si>
  <si>
    <t>Long-term Growth Rate</t>
  </si>
  <si>
    <t>Perpetuity growth assumption</t>
  </si>
  <si>
    <t>DCF Analysis</t>
  </si>
  <si>
    <t>Vs. Market</t>
  </si>
  <si>
    <t>Exit EV / EBITDA</t>
  </si>
  <si>
    <t>Terminal value cross-check</t>
  </si>
  <si>
    <t>DCF Weight</t>
  </si>
  <si>
    <t>Interpretation</t>
  </si>
  <si>
    <t>Implied downside</t>
  </si>
  <si>
    <t>Discount rate</t>
  </si>
  <si>
    <t>CCA Weight</t>
  </si>
  <si>
    <t>Range</t>
  </si>
  <si>
    <t>1675 – 2235</t>
  </si>
  <si>
    <t>Pre-tax debt cost</t>
  </si>
  <si>
    <t>Blended Reference Value</t>
  </si>
  <si>
    <t>Comment</t>
  </si>
  <si>
    <t>Market price sits 6.3% above the blended reference value.</t>
  </si>
  <si>
    <t>Forecast tax rate</t>
  </si>
  <si>
    <t>Assumption Sheet</t>
  </si>
  <si>
    <t>Terminal Value Method</t>
  </si>
  <si>
    <t>Average of Exit Multiple &amp; Perpetuity</t>
  </si>
  <si>
    <t>Terminal value is averaged in model</t>
  </si>
  <si>
    <t>3. OPERATING OUTLOOK &amp; VALUATION TAKEAWAYS</t>
  </si>
  <si>
    <t>Metric</t>
  </si>
  <si>
    <t>Change / CAGR</t>
  </si>
  <si>
    <t>Model Link</t>
  </si>
  <si>
    <t>VALUATION CONCLUSION</t>
  </si>
  <si>
    <t>Revenue (₹ crore)</t>
  </si>
  <si>
    <t>Revenue growth assumption is 6.0% p.a. in the forecast</t>
  </si>
  <si>
    <t>HUL IS</t>
  </si>
  <si>
    <t>DCF points to a conservative value of approximately ₹1,675/share versus the model market price of ₹1,975/share, while the CCA methods range from approximately ₹1,714 to ₹2,235/share. The central CCA value is approximately ₹2,042/share. Taken together, the model indicates a broad valuation range of approximately ₹1,675–₹2,235/share. An illustrative 50/50 DCF–CCA reference value is approximately ₹1,858/share, implying about 5.9% downside to the market price. Overall, valuation appears broadly balanced, with the DCF methodology providing the more conservative anchor.</t>
  </si>
  <si>
    <t>EBITDA (₹ crore)</t>
  </si>
  <si>
    <t>Operating scale improves with forecast revenue growth</t>
  </si>
  <si>
    <t>EBITDA Margin</t>
  </si>
  <si>
    <t>Model holds COGS at 50% and SG&amp;A at 26% of revenue</t>
  </si>
  <si>
    <t>Net Income (₹ crore)</t>
  </si>
  <si>
    <t>Net income expands with forecast operating profit</t>
  </si>
  <si>
    <t>FCF (₹ crore)</t>
  </si>
  <si>
    <t>Positive FCF throughout forecast period supports DCF value</t>
  </si>
  <si>
    <t>Source: Existing workbook schedules – DCF Analysis, CCA Analysis, HUL IS, HUL BS and Assumption Sheet.</t>
  </si>
  <si>
    <t>Note: The 50/50 blended value is an illustrative reference only and is not an input to the underlying DCF or CCA model.</t>
  </si>
  <si>
    <t>Hindustan Unilever</t>
  </si>
  <si>
    <t>HUL IS'!A1</t>
  </si>
  <si>
    <t xml:space="preserve">HUL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</si>
</sst>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\(#,##0\)"/>
    <numFmt numFmtId="165" formatCode="0.0%"/>
    <numFmt numFmtId="166" formatCode="#,##0;[Red]\(#,##0\);\-"/>
    <numFmt numFmtId="167" formatCode="[$-409]mmm\-yy;@"/>
    <numFmt numFmtId="168" formatCode="0.0"/>
    <numFmt numFmtId="169" formatCode="#,##0;[Red]#,##0"/>
    <numFmt numFmtId="170" formatCode="0.000"/>
    <numFmt numFmtId="171" formatCode="#,##0.00;\(#,##0.00\)"/>
    <numFmt numFmtId="172" formatCode="#,##0.0;\(#,##0.0\)"/>
    <numFmt numFmtId="173" formatCode="0E+00"/>
    <numFmt numFmtId="174" formatCode="0.0%;[Red]\(0.0%\);\-"/>
    <numFmt numFmtId="175" formatCode="0.0\x;[Red]\(0.0\x\);\-"/>
    <numFmt numFmtId="176" formatCode="0.00&quot;x&quot;"/>
  </numFmts>
  <fonts count="10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6"/>
      <color rgb="FF3333CC"/>
      <name val="Arial"/>
      <family val="2"/>
    </font>
    <font>
      <b/>
      <sz val="10"/>
      <color rgb="FF3333CC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6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3333CC"/>
      <name val="Arial"/>
      <family val="2"/>
    </font>
    <font>
      <sz val="11"/>
      <color theme="4"/>
      <name val="Arial"/>
      <family val="2"/>
    </font>
    <font>
      <b/>
      <sz val="11"/>
      <color theme="1"/>
      <name val="Arial Black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color theme="1"/>
      <name val="Arial Narrow"/>
      <family val="2"/>
    </font>
    <font>
      <i/>
      <sz val="11"/>
      <color rgb="FF3333CC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name val="Carlito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2" tint="-0.749992370372631"/>
      <name val="Arial"/>
      <family val="2"/>
    </font>
    <font>
      <b/>
      <sz val="8"/>
      <color theme="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rgb="FF0066FF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425D7E"/>
      <name val="Open Sans"/>
      <family val="2"/>
    </font>
    <font>
      <sz val="11"/>
      <color rgb="FFC00000"/>
      <name val="Arial"/>
      <family val="2"/>
    </font>
    <font>
      <sz val="12"/>
      <color rgb="FFC00000"/>
      <name val="Arial Narrow"/>
      <family val="2"/>
    </font>
    <font>
      <b/>
      <sz val="8"/>
      <color theme="4"/>
      <name val="Arial"/>
      <family val="2"/>
    </font>
    <font>
      <i/>
      <sz val="7"/>
      <color theme="1"/>
      <name val="Arial"/>
      <family val="2"/>
    </font>
    <font>
      <sz val="11"/>
      <color rgb="FF3333CC"/>
      <name val="Arial"/>
      <family val="2"/>
    </font>
    <font>
      <b/>
      <sz val="11"/>
      <color theme="4"/>
      <name val="Arial"/>
      <family val="2"/>
    </font>
    <font>
      <b/>
      <sz val="12"/>
      <color rgb="FFFFFFFF"/>
      <name val="Arial Narrow"/>
      <family val="2"/>
    </font>
    <font>
      <b/>
      <sz val="14"/>
      <color theme="1"/>
      <name val="Arial Narrow"/>
      <family val="2"/>
    </font>
    <font>
      <b/>
      <sz val="14"/>
      <color theme="0"/>
      <name val="Arial Narrow"/>
      <family val="2"/>
    </font>
    <font>
      <b/>
      <sz val="14"/>
      <color rgb="FFFFFFFF"/>
      <name val="Arial Narrow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</font>
    <font>
      <i/>
      <sz val="12"/>
      <color theme="1"/>
      <name val="Aptos Light"/>
      <family val="2"/>
    </font>
    <font>
      <sz val="11"/>
      <color rgb="FF0066FF"/>
      <name val="Arial"/>
      <family val="2"/>
    </font>
    <font>
      <sz val="12"/>
      <color rgb="FF0066FF"/>
      <name val="Arial"/>
      <family val="2"/>
    </font>
    <font>
      <b/>
      <sz val="12"/>
      <color rgb="FF0066FF"/>
      <name val="Arial"/>
      <family val="2"/>
    </font>
    <font>
      <b/>
      <sz val="11"/>
      <color rgb="FF0066FF"/>
      <name val="Arial"/>
      <family val="2"/>
    </font>
    <font>
      <sz val="11"/>
      <color rgb="FFFF0000"/>
      <name val="Aptos Narrow"/>
      <family val="2"/>
      <scheme val="minor"/>
    </font>
    <font>
      <i/>
      <sz val="7"/>
      <color theme="6" tint="0.3999755851924192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4"/>
      <name val="Arial"/>
      <family val="2"/>
    </font>
    <font>
      <i/>
      <sz val="10"/>
      <color theme="6" tint="0.39997558519241921"/>
      <name val="Arial"/>
      <family val="2"/>
    </font>
    <font>
      <i/>
      <sz val="12"/>
      <color theme="6" tint="0.39997558519241921"/>
      <name val="Arial"/>
      <family val="2"/>
    </font>
    <font>
      <b/>
      <sz val="12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22222F"/>
      <name val="Arial"/>
      <family val="2"/>
    </font>
    <font>
      <sz val="12"/>
      <color rgb="FF22222F"/>
      <name val="Arial"/>
      <family val="2"/>
    </font>
    <font>
      <sz val="11"/>
      <color rgb="FF22222F"/>
      <name val="Arial"/>
      <family val="2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sz val="8"/>
      <color theme="1"/>
      <name val="Arial"/>
      <family val="2"/>
    </font>
    <font>
      <b/>
      <sz val="11"/>
      <color theme="1"/>
      <name val="Aptos Narrow"/>
      <family val="2"/>
    </font>
    <font>
      <b/>
      <sz val="16"/>
      <color rgb="FFFFFFFF"/>
      <name val="Aptos Narrow"/>
      <family val="2"/>
    </font>
    <font>
      <i/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8000"/>
      <name val="Aptos Narrow"/>
      <family val="2"/>
    </font>
    <font>
      <b/>
      <sz val="11"/>
      <color rgb="FF008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i/>
      <sz val="11"/>
      <color rgb="FF666666"/>
      <name val="Aptos Narrow"/>
      <family val="2"/>
    </font>
    <font>
      <b/>
      <sz val="11"/>
      <color rgb="FF0000FF"/>
      <name val="Aptos Narrow"/>
      <family val="2"/>
    </font>
    <font>
      <sz val="10"/>
      <color rgb="FF000000"/>
      <name val="Aptos Narrow"/>
      <family val="2"/>
    </font>
    <font>
      <i/>
      <sz val="9"/>
      <color rgb="FF666666"/>
      <name val="Aptos Narrow"/>
      <family val="2"/>
    </font>
    <font>
      <b/>
      <sz val="11"/>
      <color rgb="FFC00000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theme="7" tint="-0.249977111117893"/>
      <name val="Calibri"/>
      <family val="2"/>
    </font>
    <font>
      <sz val="12"/>
      <color theme="7" tint="-0.24997711111789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1F497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0275D8"/>
        <bgColor indexed="64"/>
      </patternFill>
    </fill>
    <fill>
      <patternFill patternType="solid">
        <fgColor rgb="FFFCE4D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AFAFA"/>
      </patternFill>
    </fill>
    <fill>
      <patternFill patternType="solid">
        <fgColor rgb="FFFFF2CC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293D68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A5A5A5"/>
      </bottom>
      <diagonal/>
    </border>
    <border>
      <left/>
      <right/>
      <top style="medium">
        <color rgb="FFA5A5A5"/>
      </top>
      <bottom style="thin">
        <color indexed="64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 style="thin">
        <color theme="2"/>
      </top>
      <bottom/>
      <diagonal/>
    </border>
    <border>
      <left/>
      <right/>
      <top style="medium">
        <color rgb="FF293D68"/>
      </top>
      <bottom/>
      <diagonal/>
    </border>
    <border>
      <left/>
      <right/>
      <top style="medium">
        <color rgb="FFDBE4F0"/>
      </top>
      <bottom/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32" fillId="0" borderId="0"/>
    <xf numFmtId="43" fontId="1" fillId="0" borderId="0" applyFont="0" applyFill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3" fillId="0" borderId="0"/>
    <xf numFmtId="43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84" fillId="2" borderId="0" applyNumberFormat="0" applyBorder="0" applyAlignment="0" applyProtection="0"/>
    <xf numFmtId="0" fontId="85" fillId="0" borderId="0"/>
    <xf numFmtId="43" fontId="83" fillId="0" borderId="0" applyFont="0" applyFill="0" applyBorder="0" applyAlignment="0" applyProtection="0"/>
    <xf numFmtId="0" fontId="84" fillId="7" borderId="0" applyNumberFormat="0" applyBorder="0" applyAlignment="0" applyProtection="0"/>
    <xf numFmtId="0" fontId="84" fillId="8" borderId="0" applyNumberFormat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99" fillId="0" borderId="0" applyNumberFormat="0" applyFill="0" applyBorder="0" applyAlignment="0" applyProtection="0"/>
  </cellStyleXfs>
  <cellXfs count="462">
    <xf numFmtId="0" fontId="0" fillId="0" borderId="0" xfId="0"/>
    <xf numFmtId="0" fontId="4" fillId="0" borderId="0" xfId="4" applyFont="1"/>
    <xf numFmtId="0" fontId="5" fillId="0" borderId="0" xfId="4" applyFont="1"/>
    <xf numFmtId="0" fontId="3" fillId="0" borderId="0" xfId="4"/>
    <xf numFmtId="0" fontId="6" fillId="0" borderId="0" xfId="4" applyFont="1"/>
    <xf numFmtId="0" fontId="7" fillId="0" borderId="0" xfId="4" applyFont="1"/>
    <xf numFmtId="0" fontId="8" fillId="0" borderId="0" xfId="4" applyFont="1"/>
    <xf numFmtId="0" fontId="9" fillId="0" borderId="0" xfId="4" applyFont="1"/>
    <xf numFmtId="0" fontId="10" fillId="0" borderId="0" xfId="4" applyFont="1" applyAlignment="1">
      <alignment horizontal="center"/>
    </xf>
    <xf numFmtId="0" fontId="10" fillId="0" borderId="1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12" fillId="3" borderId="0" xfId="4" applyFont="1" applyFill="1"/>
    <xf numFmtId="0" fontId="12" fillId="3" borderId="0" xfId="4" applyFont="1" applyFill="1" applyAlignment="1">
      <alignment horizontal="center" vertical="center"/>
    </xf>
    <xf numFmtId="0" fontId="12" fillId="3" borderId="0" xfId="4" applyFont="1" applyFill="1" applyAlignment="1">
      <alignment horizontal="center"/>
    </xf>
    <xf numFmtId="0" fontId="12" fillId="3" borderId="1" xfId="4" applyFont="1" applyFill="1" applyBorder="1" applyAlignment="1">
      <alignment horizontal="center"/>
    </xf>
    <xf numFmtId="0" fontId="12" fillId="4" borderId="0" xfId="4" applyFont="1" applyFill="1" applyAlignment="1">
      <alignment horizontal="center"/>
    </xf>
    <xf numFmtId="0" fontId="10" fillId="0" borderId="0" xfId="4" applyFont="1"/>
    <xf numFmtId="0" fontId="9" fillId="0" borderId="0" xfId="4" applyFont="1" applyAlignment="1">
      <alignment horizontal="center"/>
    </xf>
    <xf numFmtId="0" fontId="13" fillId="0" borderId="1" xfId="4" applyFont="1" applyBorder="1"/>
    <xf numFmtId="0" fontId="13" fillId="0" borderId="0" xfId="4" applyFont="1"/>
    <xf numFmtId="0" fontId="1" fillId="0" borderId="0" xfId="0" applyFont="1"/>
    <xf numFmtId="0" fontId="9" fillId="5" borderId="0" xfId="4" applyFont="1" applyFill="1"/>
    <xf numFmtId="164" fontId="13" fillId="0" borderId="0" xfId="4" applyNumberFormat="1" applyFont="1"/>
    <xf numFmtId="38" fontId="13" fillId="0" borderId="0" xfId="4" applyNumberFormat="1" applyFont="1"/>
    <xf numFmtId="0" fontId="10" fillId="0" borderId="0" xfId="4" applyFont="1" applyAlignment="1">
      <alignment horizontal="left" indent="1"/>
    </xf>
    <xf numFmtId="9" fontId="14" fillId="0" borderId="0" xfId="2" applyFont="1" applyAlignment="1">
      <alignment horizontal="center"/>
    </xf>
    <xf numFmtId="165" fontId="15" fillId="6" borderId="0" xfId="4" applyNumberFormat="1" applyFont="1" applyFill="1"/>
    <xf numFmtId="166" fontId="13" fillId="0" borderId="0" xfId="4" applyNumberFormat="1" applyFont="1"/>
    <xf numFmtId="165" fontId="14" fillId="0" borderId="0" xfId="4" applyNumberFormat="1" applyFont="1"/>
    <xf numFmtId="164" fontId="9" fillId="0" borderId="0" xfId="4" applyNumberFormat="1" applyFont="1"/>
    <xf numFmtId="38" fontId="18" fillId="0" borderId="0" xfId="4" applyNumberFormat="1" applyFont="1"/>
    <xf numFmtId="165" fontId="14" fillId="0" borderId="0" xfId="2" applyNumberFormat="1" applyFont="1" applyAlignment="1">
      <alignment horizontal="center"/>
    </xf>
    <xf numFmtId="165" fontId="14" fillId="0" borderId="1" xfId="2" applyNumberFormat="1" applyFont="1" applyBorder="1" applyAlignment="1">
      <alignment horizontal="center"/>
    </xf>
    <xf numFmtId="165" fontId="19" fillId="0" borderId="0" xfId="4" applyNumberFormat="1" applyFont="1"/>
    <xf numFmtId="166" fontId="20" fillId="0" borderId="0" xfId="4" applyNumberFormat="1" applyFont="1"/>
    <xf numFmtId="165" fontId="14" fillId="0" borderId="0" xfId="2" applyNumberFormat="1" applyFont="1" applyBorder="1" applyAlignment="1">
      <alignment horizontal="center"/>
    </xf>
    <xf numFmtId="164" fontId="21" fillId="0" borderId="2" xfId="0" applyNumberFormat="1" applyFont="1" applyBorder="1"/>
    <xf numFmtId="0" fontId="13" fillId="0" borderId="2" xfId="4" applyFont="1" applyBorder="1"/>
    <xf numFmtId="0" fontId="1" fillId="0" borderId="2" xfId="0" applyFont="1" applyBorder="1"/>
    <xf numFmtId="0" fontId="0" fillId="0" borderId="4" xfId="0" applyBorder="1"/>
    <xf numFmtId="0" fontId="13" fillId="0" borderId="4" xfId="4" applyFont="1" applyBorder="1"/>
    <xf numFmtId="0" fontId="1" fillId="0" borderId="4" xfId="0" applyFont="1" applyBorder="1"/>
    <xf numFmtId="164" fontId="0" fillId="0" borderId="0" xfId="0" applyNumberFormat="1"/>
    <xf numFmtId="0" fontId="0" fillId="0" borderId="1" xfId="0" applyBorder="1"/>
    <xf numFmtId="38" fontId="9" fillId="0" borderId="0" xfId="4" applyNumberFormat="1" applyFont="1"/>
    <xf numFmtId="164" fontId="22" fillId="0" borderId="0" xfId="4" applyNumberFormat="1" applyFont="1" applyAlignment="1">
      <alignment horizontal="center"/>
    </xf>
    <xf numFmtId="164" fontId="22" fillId="0" borderId="1" xfId="4" applyNumberFormat="1" applyFont="1" applyBorder="1" applyAlignment="1">
      <alignment horizontal="center"/>
    </xf>
    <xf numFmtId="0" fontId="9" fillId="0" borderId="2" xfId="4" applyFont="1" applyBorder="1"/>
    <xf numFmtId="164" fontId="22" fillId="0" borderId="2" xfId="4" applyNumberFormat="1" applyFont="1" applyBorder="1" applyAlignment="1">
      <alignment horizontal="center"/>
    </xf>
    <xf numFmtId="164" fontId="22" fillId="0" borderId="3" xfId="4" applyNumberFormat="1" applyFont="1" applyBorder="1" applyAlignment="1">
      <alignment horizontal="center"/>
    </xf>
    <xf numFmtId="0" fontId="9" fillId="0" borderId="6" xfId="4" applyFont="1" applyBorder="1"/>
    <xf numFmtId="165" fontId="10" fillId="0" borderId="0" xfId="2" applyNumberFormat="1" applyFont="1"/>
    <xf numFmtId="165" fontId="10" fillId="0" borderId="1" xfId="2" applyNumberFormat="1" applyFont="1" applyBorder="1"/>
    <xf numFmtId="165" fontId="22" fillId="6" borderId="0" xfId="4" applyNumberFormat="1" applyFont="1" applyFill="1"/>
    <xf numFmtId="0" fontId="1" fillId="0" borderId="6" xfId="0" applyFont="1" applyBorder="1"/>
    <xf numFmtId="0" fontId="13" fillId="0" borderId="6" xfId="4" applyFont="1" applyBorder="1"/>
    <xf numFmtId="38" fontId="16" fillId="0" borderId="6" xfId="4" applyNumberFormat="1" applyFont="1" applyBorder="1"/>
    <xf numFmtId="0" fontId="13" fillId="0" borderId="7" xfId="4" applyFont="1" applyBorder="1"/>
    <xf numFmtId="0" fontId="9" fillId="0" borderId="8" xfId="4" applyFont="1" applyBorder="1"/>
    <xf numFmtId="164" fontId="9" fillId="0" borderId="8" xfId="4" applyNumberFormat="1" applyFont="1" applyBorder="1"/>
    <xf numFmtId="164" fontId="9" fillId="0" borderId="9" xfId="4" applyNumberFormat="1" applyFont="1" applyBorder="1"/>
    <xf numFmtId="38" fontId="8" fillId="0" borderId="4" xfId="4" applyNumberFormat="1" applyFont="1" applyBorder="1"/>
    <xf numFmtId="38" fontId="3" fillId="0" borderId="0" xfId="4" applyNumberFormat="1"/>
    <xf numFmtId="38" fontId="3" fillId="0" borderId="10" xfId="4" applyNumberFormat="1" applyBorder="1"/>
    <xf numFmtId="38" fontId="3" fillId="0" borderId="11" xfId="4" applyNumberFormat="1" applyBorder="1"/>
    <xf numFmtId="43" fontId="23" fillId="0" borderId="0" xfId="1" applyFont="1" applyBorder="1"/>
    <xf numFmtId="43" fontId="25" fillId="0" borderId="0" xfId="1" applyFont="1" applyBorder="1"/>
    <xf numFmtId="0" fontId="26" fillId="0" borderId="0" xfId="0" applyFont="1"/>
    <xf numFmtId="0" fontId="28" fillId="0" borderId="0" xfId="4" applyFont="1"/>
    <xf numFmtId="0" fontId="29" fillId="3" borderId="0" xfId="4" applyFont="1" applyFill="1"/>
    <xf numFmtId="0" fontId="29" fillId="3" borderId="0" xfId="4" applyFont="1" applyFill="1" applyAlignment="1">
      <alignment horizontal="center"/>
    </xf>
    <xf numFmtId="0" fontId="29" fillId="4" borderId="0" xfId="4" applyFont="1" applyFill="1" applyAlignment="1">
      <alignment horizontal="center"/>
    </xf>
    <xf numFmtId="0" fontId="13" fillId="0" borderId="0" xfId="0" applyFont="1"/>
    <xf numFmtId="164" fontId="5" fillId="0" borderId="0" xfId="0" applyNumberFormat="1" applyFont="1"/>
    <xf numFmtId="164" fontId="27" fillId="0" borderId="0" xfId="0" applyNumberFormat="1" applyFont="1"/>
    <xf numFmtId="164" fontId="27" fillId="0" borderId="2" xfId="0" applyNumberFormat="1" applyFont="1" applyBorder="1"/>
    <xf numFmtId="43" fontId="34" fillId="0" borderId="0" xfId="10" applyFont="1" applyBorder="1"/>
    <xf numFmtId="43" fontId="1" fillId="0" borderId="0" xfId="10" applyFont="1" applyBorder="1"/>
    <xf numFmtId="167" fontId="33" fillId="9" borderId="0" xfId="0" applyNumberFormat="1" applyFont="1" applyFill="1" applyAlignment="1">
      <alignment horizontal="center"/>
    </xf>
    <xf numFmtId="167" fontId="33" fillId="9" borderId="0" xfId="10" applyNumberFormat="1" applyFont="1" applyFill="1" applyBorder="1"/>
    <xf numFmtId="164" fontId="13" fillId="0" borderId="0" xfId="4" applyNumberFormat="1" applyFont="1" applyAlignment="1">
      <alignment horizontal="center"/>
    </xf>
    <xf numFmtId="0" fontId="13" fillId="0" borderId="0" xfId="4" applyFont="1" applyAlignment="1">
      <alignment horizontal="center"/>
    </xf>
    <xf numFmtId="38" fontId="16" fillId="0" borderId="0" xfId="4" applyNumberFormat="1" applyFont="1" applyAlignment="1">
      <alignment horizontal="center"/>
    </xf>
    <xf numFmtId="0" fontId="13" fillId="0" borderId="1" xfId="4" applyFont="1" applyBorder="1" applyAlignment="1">
      <alignment horizontal="center"/>
    </xf>
    <xf numFmtId="164" fontId="9" fillId="0" borderId="0" xfId="4" applyNumberFormat="1" applyFont="1" applyAlignment="1">
      <alignment horizontal="center"/>
    </xf>
    <xf numFmtId="0" fontId="13" fillId="0" borderId="2" xfId="4" applyFont="1" applyBorder="1" applyAlignment="1">
      <alignment horizontal="center"/>
    </xf>
    <xf numFmtId="38" fontId="16" fillId="0" borderId="2" xfId="4" applyNumberFormat="1" applyFont="1" applyBorder="1" applyAlignment="1">
      <alignment horizontal="center"/>
    </xf>
    <xf numFmtId="0" fontId="13" fillId="0" borderId="3" xfId="4" applyFont="1" applyBorder="1" applyAlignment="1">
      <alignment horizontal="center"/>
    </xf>
    <xf numFmtId="0" fontId="13" fillId="0" borderId="4" xfId="4" applyFont="1" applyBorder="1" applyAlignment="1">
      <alignment horizontal="center"/>
    </xf>
    <xf numFmtId="38" fontId="16" fillId="0" borderId="4" xfId="4" applyNumberFormat="1" applyFont="1" applyBorder="1" applyAlignment="1">
      <alignment horizontal="center"/>
    </xf>
    <xf numFmtId="0" fontId="13" fillId="0" borderId="5" xfId="4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43" fontId="0" fillId="0" borderId="0" xfId="0" applyNumberFormat="1"/>
    <xf numFmtId="164" fontId="13" fillId="0" borderId="1" xfId="4" applyNumberFormat="1" applyFont="1" applyBorder="1" applyAlignment="1">
      <alignment horizontal="center"/>
    </xf>
    <xf numFmtId="38" fontId="0" fillId="0" borderId="0" xfId="0" applyNumberFormat="1"/>
    <xf numFmtId="0" fontId="17" fillId="0" borderId="8" xfId="4" applyFont="1" applyBorder="1"/>
    <xf numFmtId="164" fontId="9" fillId="0" borderId="8" xfId="4" applyNumberFormat="1" applyFont="1" applyBorder="1" applyAlignment="1">
      <alignment horizontal="center"/>
    </xf>
    <xf numFmtId="38" fontId="18" fillId="0" borderId="8" xfId="4" applyNumberFormat="1" applyFont="1" applyBorder="1"/>
    <xf numFmtId="10" fontId="34" fillId="0" borderId="0" xfId="0" applyNumberFormat="1" applyFont="1" applyAlignment="1">
      <alignment horizontal="center"/>
    </xf>
    <xf numFmtId="10" fontId="34" fillId="0" borderId="1" xfId="0" applyNumberFormat="1" applyFont="1" applyBorder="1" applyAlignment="1">
      <alignment horizontal="center"/>
    </xf>
    <xf numFmtId="0" fontId="35" fillId="0" borderId="0" xfId="4" applyFont="1" applyAlignment="1">
      <alignment horizontal="left" indent="1"/>
    </xf>
    <xf numFmtId="165" fontId="9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" fontId="13" fillId="0" borderId="0" xfId="4" applyNumberFormat="1" applyFont="1"/>
    <xf numFmtId="165" fontId="22" fillId="0" borderId="0" xfId="2" applyNumberFormat="1" applyFont="1" applyAlignment="1">
      <alignment horizontal="center"/>
    </xf>
    <xf numFmtId="165" fontId="9" fillId="0" borderId="1" xfId="2" applyNumberFormat="1" applyFont="1" applyBorder="1" applyAlignment="1">
      <alignment horizontal="center"/>
    </xf>
    <xf numFmtId="165" fontId="22" fillId="0" borderId="1" xfId="2" applyNumberFormat="1" applyFont="1" applyBorder="1" applyAlignment="1">
      <alignment horizontal="center"/>
    </xf>
    <xf numFmtId="0" fontId="36" fillId="3" borderId="0" xfId="4" applyFont="1" applyFill="1"/>
    <xf numFmtId="0" fontId="8" fillId="0" borderId="0" xfId="4" applyFont="1" applyAlignment="1">
      <alignment horizontal="left" indent="1"/>
    </xf>
    <xf numFmtId="0" fontId="3" fillId="0" borderId="0" xfId="4" applyAlignment="1">
      <alignment horizontal="left" indent="2"/>
    </xf>
    <xf numFmtId="164" fontId="37" fillId="0" borderId="0" xfId="0" applyNumberFormat="1" applyFont="1"/>
    <xf numFmtId="164" fontId="39" fillId="0" borderId="0" xfId="0" applyNumberFormat="1" applyFont="1"/>
    <xf numFmtId="164" fontId="34" fillId="0" borderId="2" xfId="0" applyNumberFormat="1" applyFont="1" applyBorder="1"/>
    <xf numFmtId="0" fontId="0" fillId="0" borderId="2" xfId="0" applyBorder="1"/>
    <xf numFmtId="0" fontId="42" fillId="10" borderId="0" xfId="0" applyFont="1" applyFill="1" applyAlignment="1">
      <alignment vertical="center"/>
    </xf>
    <xf numFmtId="0" fontId="41" fillId="10" borderId="0" xfId="0" applyFont="1" applyFill="1" applyAlignment="1">
      <alignment horizontal="center" vertical="center"/>
    </xf>
    <xf numFmtId="9" fontId="37" fillId="11" borderId="0" xfId="2" applyFont="1" applyFill="1" applyBorder="1"/>
    <xf numFmtId="9" fontId="40" fillId="11" borderId="0" xfId="2" applyFont="1" applyFill="1" applyBorder="1"/>
    <xf numFmtId="9" fontId="38" fillId="12" borderId="12" xfId="2" applyFont="1" applyFill="1" applyBorder="1"/>
    <xf numFmtId="9" fontId="38" fillId="13" borderId="12" xfId="2" applyFont="1" applyFill="1" applyBorder="1"/>
    <xf numFmtId="165" fontId="38" fillId="13" borderId="12" xfId="2" applyNumberFormat="1" applyFont="1" applyFill="1" applyBorder="1"/>
    <xf numFmtId="165" fontId="43" fillId="14" borderId="12" xfId="2" applyNumberFormat="1" applyFont="1" applyFill="1" applyBorder="1" applyAlignment="1">
      <alignment horizontal="right" vertical="center" wrapText="1" indent="1"/>
    </xf>
    <xf numFmtId="165" fontId="44" fillId="14" borderId="12" xfId="2" applyNumberFormat="1" applyFont="1" applyFill="1" applyBorder="1" applyAlignment="1">
      <alignment horizontal="right"/>
    </xf>
    <xf numFmtId="164" fontId="38" fillId="12" borderId="12" xfId="0" applyNumberFormat="1" applyFont="1" applyFill="1" applyBorder="1"/>
    <xf numFmtId="164" fontId="38" fillId="13" borderId="12" xfId="0" applyNumberFormat="1" applyFont="1" applyFill="1" applyBorder="1"/>
    <xf numFmtId="165" fontId="44" fillId="14" borderId="12" xfId="2" applyNumberFormat="1" applyFont="1" applyFill="1" applyBorder="1"/>
    <xf numFmtId="2" fontId="38" fillId="13" borderId="12" xfId="2" applyNumberFormat="1" applyFont="1" applyFill="1" applyBorder="1"/>
    <xf numFmtId="168" fontId="44" fillId="14" borderId="12" xfId="2" applyNumberFormat="1" applyFont="1" applyFill="1" applyBorder="1" applyAlignment="1">
      <alignment horizontal="right"/>
    </xf>
    <xf numFmtId="43" fontId="38" fillId="13" borderId="12" xfId="2" applyNumberFormat="1" applyFont="1" applyFill="1" applyBorder="1"/>
    <xf numFmtId="0" fontId="38" fillId="13" borderId="12" xfId="2" applyNumberFormat="1" applyFont="1" applyFill="1" applyBorder="1"/>
    <xf numFmtId="0" fontId="44" fillId="14" borderId="12" xfId="2" applyNumberFormat="1" applyFont="1" applyFill="1" applyBorder="1" applyAlignment="1">
      <alignment horizontal="right"/>
    </xf>
    <xf numFmtId="0" fontId="3" fillId="0" borderId="1" xfId="4" applyBorder="1"/>
    <xf numFmtId="38" fontId="45" fillId="0" borderId="0" xfId="4" applyNumberFormat="1" applyFont="1"/>
    <xf numFmtId="0" fontId="3" fillId="0" borderId="0" xfId="4" applyAlignment="1">
      <alignment horizontal="left" indent="1"/>
    </xf>
    <xf numFmtId="0" fontId="8" fillId="0" borderId="4" xfId="4" applyFont="1" applyBorder="1"/>
    <xf numFmtId="0" fontId="46" fillId="0" borderId="0" xfId="4" applyFont="1" applyAlignment="1">
      <alignment horizontal="left" indent="1"/>
    </xf>
    <xf numFmtId="0" fontId="13" fillId="0" borderId="0" xfId="4" applyFont="1" applyAlignment="1">
      <alignment horizontal="right"/>
    </xf>
    <xf numFmtId="0" fontId="9" fillId="0" borderId="0" xfId="4" applyFont="1" applyAlignment="1">
      <alignment horizontal="right"/>
    </xf>
    <xf numFmtId="38" fontId="48" fillId="0" borderId="0" xfId="4" applyNumberFormat="1" applyFont="1" applyAlignment="1">
      <alignment horizontal="right"/>
    </xf>
    <xf numFmtId="0" fontId="10" fillId="0" borderId="0" xfId="4" applyFont="1" applyAlignment="1">
      <alignment horizontal="right"/>
    </xf>
    <xf numFmtId="38" fontId="47" fillId="6" borderId="0" xfId="4" applyNumberFormat="1" applyFont="1" applyFill="1" applyAlignment="1">
      <alignment horizontal="right"/>
    </xf>
    <xf numFmtId="0" fontId="50" fillId="10" borderId="0" xfId="0" applyFont="1" applyFill="1" applyAlignment="1">
      <alignment horizontal="right"/>
    </xf>
    <xf numFmtId="0" fontId="51" fillId="17" borderId="0" xfId="0" applyFont="1" applyFill="1" applyAlignment="1">
      <alignment horizontal="right"/>
    </xf>
    <xf numFmtId="0" fontId="52" fillId="17" borderId="0" xfId="0" applyFont="1" applyFill="1" applyAlignment="1">
      <alignment horizontal="right"/>
    </xf>
    <xf numFmtId="0" fontId="53" fillId="17" borderId="0" xfId="0" applyFont="1" applyFill="1" applyAlignment="1">
      <alignment vertical="center"/>
    </xf>
    <xf numFmtId="164" fontId="15" fillId="0" borderId="0" xfId="4" applyNumberFormat="1" applyFont="1" applyAlignment="1">
      <alignment horizontal="center"/>
    </xf>
    <xf numFmtId="38" fontId="13" fillId="0" borderId="0" xfId="4" applyNumberFormat="1" applyFont="1" applyAlignment="1">
      <alignment horizontal="right"/>
    </xf>
    <xf numFmtId="0" fontId="1" fillId="0" borderId="0" xfId="0" applyFont="1" applyAlignment="1">
      <alignment horizontal="right"/>
    </xf>
    <xf numFmtId="38" fontId="20" fillId="0" borderId="0" xfId="4" applyNumberFormat="1" applyFont="1" applyAlignment="1">
      <alignment horizontal="right"/>
    </xf>
    <xf numFmtId="38" fontId="9" fillId="0" borderId="0" xfId="4" applyNumberFormat="1" applyFont="1" applyAlignment="1">
      <alignment horizontal="right"/>
    </xf>
    <xf numFmtId="38" fontId="13" fillId="0" borderId="0" xfId="4" applyNumberFormat="1" applyFont="1" applyAlignment="1">
      <alignment horizontal="center"/>
    </xf>
    <xf numFmtId="0" fontId="9" fillId="0" borderId="0" xfId="4" applyFont="1" applyAlignment="1">
      <alignment horizontal="left" indent="1"/>
    </xf>
    <xf numFmtId="0" fontId="9" fillId="0" borderId="0" xfId="4" applyFont="1" applyAlignment="1">
      <alignment horizontal="left" indent="2"/>
    </xf>
    <xf numFmtId="0" fontId="13" fillId="0" borderId="0" xfId="4" applyFont="1" applyAlignment="1">
      <alignment horizontal="left" indent="2"/>
    </xf>
    <xf numFmtId="0" fontId="9" fillId="0" borderId="0" xfId="4" applyFont="1" applyAlignment="1">
      <alignment horizontal="left" indent="3"/>
    </xf>
    <xf numFmtId="0" fontId="54" fillId="5" borderId="0" xfId="4" applyFont="1" applyFill="1"/>
    <xf numFmtId="0" fontId="54" fillId="0" borderId="0" xfId="4" applyFont="1"/>
    <xf numFmtId="0" fontId="13" fillId="0" borderId="0" xfId="4" applyFont="1" applyAlignment="1">
      <alignment horizontal="left" indent="1"/>
    </xf>
    <xf numFmtId="0" fontId="55" fillId="0" borderId="0" xfId="4" applyFont="1"/>
    <xf numFmtId="164" fontId="31" fillId="0" borderId="0" xfId="0" applyNumberFormat="1" applyFont="1"/>
    <xf numFmtId="164" fontId="13" fillId="0" borderId="0" xfId="0" applyNumberFormat="1" applyFont="1"/>
    <xf numFmtId="164" fontId="56" fillId="0" borderId="0" xfId="0" applyNumberFormat="1" applyFont="1"/>
    <xf numFmtId="164" fontId="27" fillId="0" borderId="0" xfId="0" applyNumberFormat="1" applyFont="1" applyAlignment="1">
      <alignment horizontal="right"/>
    </xf>
    <xf numFmtId="164" fontId="57" fillId="0" borderId="0" xfId="0" applyNumberFormat="1" applyFont="1" applyAlignment="1">
      <alignment horizontal="right"/>
    </xf>
    <xf numFmtId="164" fontId="13" fillId="0" borderId="2" xfId="0" applyNumberFormat="1" applyFont="1" applyBorder="1"/>
    <xf numFmtId="164" fontId="27" fillId="0" borderId="2" xfId="0" applyNumberFormat="1" applyFont="1" applyBorder="1" applyAlignment="1">
      <alignment horizontal="right"/>
    </xf>
    <xf numFmtId="164" fontId="57" fillId="0" borderId="2" xfId="0" applyNumberFormat="1" applyFont="1" applyBorder="1" applyAlignment="1">
      <alignment horizontal="right"/>
    </xf>
    <xf numFmtId="164" fontId="9" fillId="0" borderId="0" xfId="0" applyNumberFormat="1" applyFont="1"/>
    <xf numFmtId="164" fontId="58" fillId="0" borderId="0" xfId="0" applyNumberFormat="1" applyFont="1" applyAlignment="1">
      <alignment horizontal="right"/>
    </xf>
    <xf numFmtId="164" fontId="9" fillId="0" borderId="2" xfId="0" applyNumberFormat="1" applyFont="1" applyBorder="1"/>
    <xf numFmtId="164" fontId="56" fillId="0" borderId="2" xfId="0" applyNumberFormat="1" applyFont="1" applyBorder="1"/>
    <xf numFmtId="164" fontId="59" fillId="0" borderId="0" xfId="0" applyNumberFormat="1" applyFont="1"/>
    <xf numFmtId="9" fontId="14" fillId="0" borderId="1" xfId="2" applyFont="1" applyBorder="1" applyAlignment="1">
      <alignment horizontal="center"/>
    </xf>
    <xf numFmtId="164" fontId="9" fillId="0" borderId="9" xfId="4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1" fillId="0" borderId="0" xfId="4" applyFont="1" applyAlignment="1">
      <alignment horizontal="left" indent="1"/>
    </xf>
    <xf numFmtId="0" fontId="29" fillId="3" borderId="1" xfId="4" applyFont="1" applyFill="1" applyBorder="1" applyAlignment="1">
      <alignment horizontal="center"/>
    </xf>
    <xf numFmtId="0" fontId="3" fillId="0" borderId="6" xfId="4" applyBorder="1" applyAlignment="1">
      <alignment horizontal="left" indent="2"/>
    </xf>
    <xf numFmtId="0" fontId="3" fillId="0" borderId="6" xfId="4" applyBorder="1"/>
    <xf numFmtId="0" fontId="3" fillId="0" borderId="6" xfId="4" applyBorder="1" applyAlignment="1">
      <alignment horizontal="left" indent="1"/>
    </xf>
    <xf numFmtId="0" fontId="62" fillId="0" borderId="0" xfId="4" applyFont="1"/>
    <xf numFmtId="0" fontId="62" fillId="0" borderId="1" xfId="4" applyFont="1" applyBorder="1"/>
    <xf numFmtId="0" fontId="63" fillId="0" borderId="0" xfId="4" applyFont="1"/>
    <xf numFmtId="0" fontId="63" fillId="0" borderId="0" xfId="4" applyFont="1" applyAlignment="1">
      <alignment horizontal="left" indent="1"/>
    </xf>
    <xf numFmtId="0" fontId="63" fillId="0" borderId="0" xfId="4" applyFont="1" applyAlignment="1">
      <alignment horizontal="left" indent="2"/>
    </xf>
    <xf numFmtId="0" fontId="62" fillId="0" borderId="0" xfId="4" applyFont="1" applyAlignment="1">
      <alignment horizontal="left" indent="2"/>
    </xf>
    <xf numFmtId="0" fontId="64" fillId="0" borderId="0" xfId="0" applyFont="1"/>
    <xf numFmtId="0" fontId="63" fillId="0" borderId="6" xfId="4" applyFont="1" applyBorder="1" applyAlignment="1">
      <alignment horizontal="left" indent="3"/>
    </xf>
    <xf numFmtId="0" fontId="63" fillId="0" borderId="0" xfId="4" applyFont="1" applyAlignment="1">
      <alignment horizontal="left" indent="3"/>
    </xf>
    <xf numFmtId="0" fontId="63" fillId="0" borderId="4" xfId="4" applyFont="1" applyBorder="1" applyAlignment="1">
      <alignment horizontal="left" indent="3"/>
    </xf>
    <xf numFmtId="0" fontId="62" fillId="0" borderId="10" xfId="4" applyFont="1" applyBorder="1"/>
    <xf numFmtId="0" fontId="63" fillId="0" borderId="11" xfId="4" applyFont="1" applyBorder="1"/>
    <xf numFmtId="0" fontId="34" fillId="0" borderId="0" xfId="0" applyFont="1"/>
    <xf numFmtId="0" fontId="23" fillId="0" borderId="0" xfId="0" applyFont="1"/>
    <xf numFmtId="0" fontId="0" fillId="18" borderId="12" xfId="0" applyFill="1" applyBorder="1"/>
    <xf numFmtId="9" fontId="0" fillId="18" borderId="12" xfId="2" applyFont="1" applyFill="1" applyBorder="1"/>
    <xf numFmtId="0" fontId="0" fillId="19" borderId="12" xfId="0" applyFill="1" applyBorder="1"/>
    <xf numFmtId="0" fontId="0" fillId="19" borderId="0" xfId="0" applyFill="1"/>
    <xf numFmtId="0" fontId="60" fillId="19" borderId="12" xfId="0" applyFont="1" applyFill="1" applyBorder="1"/>
    <xf numFmtId="9" fontId="0" fillId="19" borderId="12" xfId="2" applyFont="1" applyFill="1" applyBorder="1"/>
    <xf numFmtId="0" fontId="40" fillId="0" borderId="0" xfId="0" applyFont="1"/>
    <xf numFmtId="0" fontId="0" fillId="20" borderId="12" xfId="0" applyFill="1" applyBorder="1"/>
    <xf numFmtId="9" fontId="0" fillId="20" borderId="12" xfId="0" applyNumberFormat="1" applyFill="1" applyBorder="1"/>
    <xf numFmtId="0" fontId="0" fillId="20" borderId="0" xfId="0" applyFill="1"/>
    <xf numFmtId="0" fontId="60" fillId="20" borderId="12" xfId="0" applyFont="1" applyFill="1" applyBorder="1"/>
    <xf numFmtId="9" fontId="0" fillId="20" borderId="12" xfId="2" applyFont="1" applyFill="1" applyBorder="1"/>
    <xf numFmtId="165" fontId="9" fillId="0" borderId="0" xfId="2" applyNumberFormat="1" applyFont="1"/>
    <xf numFmtId="164" fontId="15" fillId="0" borderId="6" xfId="4" applyNumberFormat="1" applyFont="1" applyBorder="1" applyAlignment="1">
      <alignment horizontal="center"/>
    </xf>
    <xf numFmtId="164" fontId="15" fillId="0" borderId="7" xfId="4" applyNumberFormat="1" applyFont="1" applyBorder="1" applyAlignment="1">
      <alignment horizontal="center"/>
    </xf>
    <xf numFmtId="164" fontId="15" fillId="0" borderId="13" xfId="4" applyNumberFormat="1" applyFont="1" applyBorder="1" applyAlignment="1">
      <alignment horizontal="center"/>
    </xf>
    <xf numFmtId="165" fontId="0" fillId="0" borderId="0" xfId="2" applyNumberFormat="1" applyFont="1"/>
    <xf numFmtId="166" fontId="3" fillId="0" borderId="0" xfId="4" applyNumberFormat="1"/>
    <xf numFmtId="166" fontId="0" fillId="0" borderId="0" xfId="0" applyNumberFormat="1"/>
    <xf numFmtId="166" fontId="8" fillId="0" borderId="6" xfId="4" applyNumberFormat="1" applyFont="1" applyBorder="1"/>
    <xf numFmtId="166" fontId="0" fillId="0" borderId="6" xfId="0" applyNumberFormat="1" applyBorder="1"/>
    <xf numFmtId="166" fontId="8" fillId="0" borderId="0" xfId="4" applyNumberFormat="1" applyFont="1"/>
    <xf numFmtId="166" fontId="8" fillId="0" borderId="4" xfId="4" applyNumberFormat="1" applyFont="1" applyBorder="1"/>
    <xf numFmtId="166" fontId="3" fillId="0" borderId="10" xfId="4" applyNumberFormat="1" applyBorder="1"/>
    <xf numFmtId="166" fontId="8" fillId="0" borderId="11" xfId="4" applyNumberFormat="1" applyFont="1" applyBorder="1"/>
    <xf numFmtId="164" fontId="63" fillId="0" borderId="0" xfId="4" applyNumberFormat="1" applyFont="1" applyAlignment="1">
      <alignment horizontal="left" indent="1"/>
    </xf>
    <xf numFmtId="164" fontId="63" fillId="0" borderId="1" xfId="4" applyNumberFormat="1" applyFont="1" applyBorder="1" applyAlignment="1">
      <alignment horizontal="left" indent="1"/>
    </xf>
    <xf numFmtId="164" fontId="62" fillId="0" borderId="0" xfId="4" applyNumberFormat="1" applyFont="1"/>
    <xf numFmtId="164" fontId="62" fillId="0" borderId="1" xfId="4" applyNumberFormat="1" applyFont="1" applyBorder="1"/>
    <xf numFmtId="164" fontId="63" fillId="0" borderId="0" xfId="4" applyNumberFormat="1" applyFont="1" applyAlignment="1">
      <alignment horizontal="left" indent="2"/>
    </xf>
    <xf numFmtId="164" fontId="62" fillId="0" borderId="0" xfId="4" applyNumberFormat="1" applyFont="1" applyAlignment="1">
      <alignment horizontal="left" indent="2"/>
    </xf>
    <xf numFmtId="164" fontId="62" fillId="0" borderId="1" xfId="4" applyNumberFormat="1" applyFont="1" applyBorder="1" applyAlignment="1">
      <alignment horizontal="left" indent="2"/>
    </xf>
    <xf numFmtId="164" fontId="63" fillId="0" borderId="6" xfId="4" applyNumberFormat="1" applyFont="1" applyBorder="1" applyAlignment="1">
      <alignment horizontal="left" indent="3"/>
    </xf>
    <xf numFmtId="164" fontId="63" fillId="0" borderId="6" xfId="4" applyNumberFormat="1" applyFont="1" applyBorder="1"/>
    <xf numFmtId="164" fontId="63" fillId="0" borderId="7" xfId="4" applyNumberFormat="1" applyFont="1" applyBorder="1"/>
    <xf numFmtId="164" fontId="63" fillId="0" borderId="0" xfId="4" applyNumberFormat="1" applyFont="1" applyAlignment="1">
      <alignment horizontal="left" indent="3"/>
    </xf>
    <xf numFmtId="164" fontId="63" fillId="0" borderId="1" xfId="4" applyNumberFormat="1" applyFont="1" applyBorder="1" applyAlignment="1">
      <alignment horizontal="left" indent="3"/>
    </xf>
    <xf numFmtId="164" fontId="63" fillId="0" borderId="0" xfId="4" applyNumberFormat="1" applyFont="1"/>
    <xf numFmtId="164" fontId="63" fillId="0" borderId="4" xfId="4" applyNumberFormat="1" applyFont="1" applyBorder="1" applyAlignment="1">
      <alignment horizontal="left" indent="3"/>
    </xf>
    <xf numFmtId="164" fontId="63" fillId="0" borderId="5" xfId="4" applyNumberFormat="1" applyFont="1" applyBorder="1" applyAlignment="1">
      <alignment horizontal="left" indent="3"/>
    </xf>
    <xf numFmtId="164" fontId="62" fillId="0" borderId="10" xfId="4" applyNumberFormat="1" applyFont="1" applyBorder="1"/>
    <xf numFmtId="164" fontId="62" fillId="0" borderId="15" xfId="4" applyNumberFormat="1" applyFont="1" applyBorder="1"/>
    <xf numFmtId="164" fontId="63" fillId="0" borderId="11" xfId="4" applyNumberFormat="1" applyFont="1" applyBorder="1"/>
    <xf numFmtId="164" fontId="63" fillId="0" borderId="16" xfId="4" applyNumberFormat="1" applyFont="1" applyBorder="1"/>
    <xf numFmtId="164" fontId="39" fillId="0" borderId="1" xfId="0" applyNumberFormat="1" applyFont="1" applyBorder="1"/>
    <xf numFmtId="164" fontId="56" fillId="0" borderId="1" xfId="0" applyNumberFormat="1" applyFont="1" applyBorder="1"/>
    <xf numFmtId="164" fontId="13" fillId="0" borderId="1" xfId="0" applyNumberFormat="1" applyFont="1" applyBorder="1"/>
    <xf numFmtId="164" fontId="57" fillId="0" borderId="1" xfId="0" applyNumberFormat="1" applyFont="1" applyBorder="1" applyAlignment="1">
      <alignment horizontal="right"/>
    </xf>
    <xf numFmtId="164" fontId="57" fillId="0" borderId="3" xfId="0" applyNumberFormat="1" applyFont="1" applyBorder="1" applyAlignment="1">
      <alignment horizontal="right"/>
    </xf>
    <xf numFmtId="164" fontId="9" fillId="0" borderId="1" xfId="0" applyNumberFormat="1" applyFont="1" applyBorder="1"/>
    <xf numFmtId="164" fontId="9" fillId="0" borderId="3" xfId="0" applyNumberFormat="1" applyFont="1" applyBorder="1"/>
    <xf numFmtId="164" fontId="56" fillId="0" borderId="3" xfId="0" applyNumberFormat="1" applyFont="1" applyBorder="1"/>
    <xf numFmtId="0" fontId="67" fillId="0" borderId="17" xfId="0" applyFont="1" applyBorder="1"/>
    <xf numFmtId="0" fontId="27" fillId="0" borderId="17" xfId="0" applyFont="1" applyBorder="1"/>
    <xf numFmtId="0" fontId="27" fillId="0" borderId="0" xfId="0" applyFont="1"/>
    <xf numFmtId="0" fontId="67" fillId="0" borderId="0" xfId="0" applyFont="1"/>
    <xf numFmtId="3" fontId="68" fillId="0" borderId="0" xfId="0" applyNumberFormat="1" applyFont="1" applyAlignment="1">
      <alignment horizontal="right"/>
    </xf>
    <xf numFmtId="0" fontId="27" fillId="21" borderId="0" xfId="0" applyFont="1" applyFill="1"/>
    <xf numFmtId="0" fontId="31" fillId="21" borderId="0" xfId="0" applyFont="1" applyFill="1" applyAlignment="1">
      <alignment horizontal="right"/>
    </xf>
    <xf numFmtId="0" fontId="69" fillId="22" borderId="0" xfId="0" applyFont="1" applyFill="1" applyAlignment="1">
      <alignment horizontal="right"/>
    </xf>
    <xf numFmtId="0" fontId="70" fillId="22" borderId="0" xfId="0" applyFont="1" applyFill="1"/>
    <xf numFmtId="0" fontId="68" fillId="0" borderId="17" xfId="0" applyFont="1" applyBorder="1" applyAlignment="1">
      <alignment horizontal="right"/>
    </xf>
    <xf numFmtId="3" fontId="68" fillId="0" borderId="17" xfId="0" applyNumberFormat="1" applyFont="1" applyBorder="1" applyAlignment="1">
      <alignment horizontal="right"/>
    </xf>
    <xf numFmtId="0" fontId="71" fillId="0" borderId="0" xfId="0" applyFont="1"/>
    <xf numFmtId="0" fontId="27" fillId="22" borderId="0" xfId="0" applyFont="1" applyFill="1"/>
    <xf numFmtId="0" fontId="71" fillId="0" borderId="0" xfId="0" applyFont="1" applyAlignment="1">
      <alignment vertical="center"/>
    </xf>
    <xf numFmtId="164" fontId="27" fillId="24" borderId="0" xfId="0" applyNumberFormat="1" applyFont="1" applyFill="1"/>
    <xf numFmtId="10" fontId="27" fillId="24" borderId="0" xfId="0" applyNumberFormat="1" applyFont="1" applyFill="1"/>
    <xf numFmtId="0" fontId="0" fillId="19" borderId="0" xfId="0" applyFill="1" applyAlignment="1">
      <alignment vertical="center"/>
    </xf>
    <xf numFmtId="2" fontId="27" fillId="24" borderId="0" xfId="0" applyNumberFormat="1" applyFont="1" applyFill="1"/>
    <xf numFmtId="169" fontId="0" fillId="0" borderId="0" xfId="0" applyNumberFormat="1"/>
    <xf numFmtId="164" fontId="27" fillId="24" borderId="17" xfId="0" applyNumberFormat="1" applyFont="1" applyFill="1" applyBorder="1"/>
    <xf numFmtId="164" fontId="71" fillId="0" borderId="0" xfId="0" applyNumberFormat="1" applyFont="1"/>
    <xf numFmtId="164" fontId="27" fillId="0" borderId="17" xfId="0" applyNumberFormat="1" applyFont="1" applyBorder="1"/>
    <xf numFmtId="164" fontId="67" fillId="0" borderId="17" xfId="0" applyNumberFormat="1" applyFont="1" applyBorder="1"/>
    <xf numFmtId="164" fontId="67" fillId="0" borderId="0" xfId="0" applyNumberFormat="1" applyFont="1"/>
    <xf numFmtId="164" fontId="27" fillId="22" borderId="0" xfId="0" applyNumberFormat="1" applyFont="1" applyFill="1"/>
    <xf numFmtId="164" fontId="70" fillId="22" borderId="0" xfId="0" applyNumberFormat="1" applyFont="1" applyFill="1"/>
    <xf numFmtId="10" fontId="27" fillId="24" borderId="0" xfId="2" applyNumberFormat="1" applyFont="1" applyFill="1"/>
    <xf numFmtId="166" fontId="62" fillId="0" borderId="0" xfId="4" applyNumberFormat="1" applyFont="1" applyAlignment="1">
      <alignment horizontal="left" indent="2"/>
    </xf>
    <xf numFmtId="166" fontId="62" fillId="0" borderId="1" xfId="4" applyNumberFormat="1" applyFont="1" applyBorder="1" applyAlignment="1">
      <alignment horizontal="left" indent="2"/>
    </xf>
    <xf numFmtId="166" fontId="62" fillId="0" borderId="0" xfId="4" applyNumberFormat="1" applyFont="1"/>
    <xf numFmtId="166" fontId="72" fillId="0" borderId="0" xfId="4" applyNumberFormat="1" applyFont="1"/>
    <xf numFmtId="166" fontId="62" fillId="0" borderId="6" xfId="4" applyNumberFormat="1" applyFont="1" applyBorder="1" applyAlignment="1">
      <alignment horizontal="left" indent="2"/>
    </xf>
    <xf numFmtId="166" fontId="62" fillId="0" borderId="7" xfId="4" applyNumberFormat="1" applyFont="1" applyBorder="1" applyAlignment="1">
      <alignment horizontal="left" indent="2"/>
    </xf>
    <xf numFmtId="166" fontId="62" fillId="0" borderId="6" xfId="4" applyNumberFormat="1" applyFont="1" applyBorder="1"/>
    <xf numFmtId="166" fontId="63" fillId="0" borderId="0" xfId="4" applyNumberFormat="1" applyFont="1" applyAlignment="1">
      <alignment horizontal="left" indent="1"/>
    </xf>
    <xf numFmtId="166" fontId="63" fillId="0" borderId="1" xfId="4" applyNumberFormat="1" applyFont="1" applyBorder="1" applyAlignment="1">
      <alignment horizontal="left" indent="1"/>
    </xf>
    <xf numFmtId="166" fontId="73" fillId="0" borderId="0" xfId="4" applyNumberFormat="1" applyFont="1"/>
    <xf numFmtId="166" fontId="62" fillId="0" borderId="0" xfId="4" applyNumberFormat="1" applyFont="1" applyAlignment="1">
      <alignment horizontal="left" indent="1"/>
    </xf>
    <xf numFmtId="166" fontId="74" fillId="0" borderId="0" xfId="4" applyNumberFormat="1" applyFont="1"/>
    <xf numFmtId="166" fontId="62" fillId="0" borderId="1" xfId="4" applyNumberFormat="1" applyFont="1" applyBorder="1"/>
    <xf numFmtId="166" fontId="64" fillId="0" borderId="0" xfId="0" applyNumberFormat="1" applyFont="1"/>
    <xf numFmtId="166" fontId="74" fillId="0" borderId="6" xfId="4" applyNumberFormat="1" applyFont="1" applyBorder="1"/>
    <xf numFmtId="166" fontId="62" fillId="0" borderId="7" xfId="4" applyNumberFormat="1" applyFont="1" applyBorder="1"/>
    <xf numFmtId="166" fontId="64" fillId="0" borderId="6" xfId="0" applyNumberFormat="1" applyFont="1" applyBorder="1"/>
    <xf numFmtId="166" fontId="63" fillId="0" borderId="0" xfId="4" applyNumberFormat="1" applyFont="1"/>
    <xf numFmtId="166" fontId="63" fillId="0" borderId="1" xfId="4" applyNumberFormat="1" applyFont="1" applyBorder="1"/>
    <xf numFmtId="166" fontId="62" fillId="0" borderId="14" xfId="4" applyNumberFormat="1" applyFont="1" applyBorder="1"/>
    <xf numFmtId="166" fontId="62" fillId="0" borderId="6" xfId="4" applyNumberFormat="1" applyFont="1" applyBorder="1" applyAlignment="1">
      <alignment horizontal="left" indent="1"/>
    </xf>
    <xf numFmtId="166" fontId="63" fillId="0" borderId="5" xfId="4" applyNumberFormat="1" applyFont="1" applyBorder="1"/>
    <xf numFmtId="166" fontId="62" fillId="0" borderId="1" xfId="4" applyNumberFormat="1" applyFont="1" applyBorder="1" applyAlignment="1">
      <alignment horizontal="left" indent="1"/>
    </xf>
    <xf numFmtId="166" fontId="62" fillId="0" borderId="7" xfId="4" applyNumberFormat="1" applyFont="1" applyBorder="1" applyAlignment="1">
      <alignment horizontal="left" indent="1"/>
    </xf>
    <xf numFmtId="166" fontId="75" fillId="0" borderId="0" xfId="4" applyNumberFormat="1" applyFont="1" applyAlignment="1">
      <alignment horizontal="left" indent="1"/>
    </xf>
    <xf numFmtId="0" fontId="31" fillId="0" borderId="0" xfId="4" applyFont="1" applyAlignment="1">
      <alignment horizontal="left" indent="1"/>
    </xf>
    <xf numFmtId="0" fontId="27" fillId="0" borderId="0" xfId="4" applyFont="1" applyAlignment="1">
      <alignment horizontal="left" indent="2"/>
    </xf>
    <xf numFmtId="0" fontId="27" fillId="0" borderId="6" xfId="4" applyFont="1" applyBorder="1" applyAlignment="1">
      <alignment horizontal="left" indent="2"/>
    </xf>
    <xf numFmtId="0" fontId="27" fillId="0" borderId="0" xfId="4" applyFont="1" applyAlignment="1">
      <alignment horizontal="left" indent="1"/>
    </xf>
    <xf numFmtId="0" fontId="27" fillId="0" borderId="6" xfId="4" applyFont="1" applyBorder="1"/>
    <xf numFmtId="0" fontId="31" fillId="0" borderId="0" xfId="4" applyFont="1"/>
    <xf numFmtId="0" fontId="27" fillId="0" borderId="0" xfId="4" applyFont="1"/>
    <xf numFmtId="0" fontId="27" fillId="0" borderId="6" xfId="4" applyFont="1" applyBorder="1" applyAlignment="1">
      <alignment horizontal="left" indent="1"/>
    </xf>
    <xf numFmtId="0" fontId="30" fillId="0" borderId="0" xfId="0" applyFont="1"/>
    <xf numFmtId="0" fontId="76" fillId="0" borderId="0" xfId="4" applyFont="1" applyAlignment="1">
      <alignment horizontal="left" indent="1"/>
    </xf>
    <xf numFmtId="0" fontId="77" fillId="0" borderId="0" xfId="0" applyFont="1"/>
    <xf numFmtId="10" fontId="27" fillId="24" borderId="17" xfId="2" applyNumberFormat="1" applyFont="1" applyFill="1" applyBorder="1"/>
    <xf numFmtId="2" fontId="0" fillId="0" borderId="0" xfId="0" applyNumberFormat="1"/>
    <xf numFmtId="0" fontId="67" fillId="26" borderId="17" xfId="0" applyFont="1" applyFill="1" applyBorder="1"/>
    <xf numFmtId="0" fontId="27" fillId="26" borderId="17" xfId="0" applyFont="1" applyFill="1" applyBorder="1"/>
    <xf numFmtId="0" fontId="67" fillId="26" borderId="0" xfId="0" applyFont="1" applyFill="1"/>
    <xf numFmtId="14" fontId="0" fillId="0" borderId="0" xfId="0" applyNumberFormat="1"/>
    <xf numFmtId="9" fontId="0" fillId="0" borderId="0" xfId="2" applyFont="1"/>
    <xf numFmtId="0" fontId="0" fillId="27" borderId="0" xfId="0" applyFill="1"/>
    <xf numFmtId="164" fontId="27" fillId="27" borderId="12" xfId="0" applyNumberFormat="1" applyFont="1" applyFill="1" applyBorder="1"/>
    <xf numFmtId="14" fontId="30" fillId="27" borderId="12" xfId="0" applyNumberFormat="1" applyFont="1" applyFill="1" applyBorder="1"/>
    <xf numFmtId="0" fontId="30" fillId="27" borderId="12" xfId="0" applyFont="1" applyFill="1" applyBorder="1"/>
    <xf numFmtId="165" fontId="27" fillId="27" borderId="12" xfId="2" applyNumberFormat="1" applyFont="1" applyFill="1" applyBorder="1"/>
    <xf numFmtId="165" fontId="30" fillId="27" borderId="12" xfId="2" applyNumberFormat="1" applyFont="1" applyFill="1" applyBorder="1"/>
    <xf numFmtId="14" fontId="30" fillId="27" borderId="12" xfId="0" applyNumberFormat="1" applyFont="1" applyFill="1" applyBorder="1" applyAlignment="1">
      <alignment horizontal="center"/>
    </xf>
    <xf numFmtId="165" fontId="0" fillId="18" borderId="12" xfId="2" applyNumberFormat="1" applyFont="1" applyFill="1" applyBorder="1"/>
    <xf numFmtId="2" fontId="0" fillId="20" borderId="12" xfId="0" applyNumberFormat="1" applyFill="1" applyBorder="1"/>
    <xf numFmtId="168" fontId="0" fillId="20" borderId="12" xfId="0" applyNumberFormat="1" applyFill="1" applyBorder="1"/>
    <xf numFmtId="9" fontId="67" fillId="0" borderId="0" xfId="2" applyFont="1" applyAlignment="1"/>
    <xf numFmtId="9" fontId="0" fillId="0" borderId="0" xfId="2" applyFont="1" applyAlignment="1"/>
    <xf numFmtId="0" fontId="0" fillId="0" borderId="0" xfId="2" applyNumberFormat="1" applyFont="1" applyAlignment="1"/>
    <xf numFmtId="9" fontId="67" fillId="30" borderId="0" xfId="2" applyFont="1" applyFill="1" applyAlignment="1"/>
    <xf numFmtId="0" fontId="67" fillId="0" borderId="0" xfId="2" applyNumberFormat="1" applyFont="1" applyAlignment="1"/>
    <xf numFmtId="9" fontId="79" fillId="30" borderId="0" xfId="2" applyFont="1" applyFill="1" applyAlignment="1">
      <alignment horizontal="center"/>
    </xf>
    <xf numFmtId="9" fontId="79" fillId="30" borderId="0" xfId="2" applyFont="1" applyFill="1" applyAlignment="1">
      <alignment horizontal="center" vertical="center"/>
    </xf>
    <xf numFmtId="9" fontId="67" fillId="30" borderId="0" xfId="2" applyFont="1" applyFill="1" applyAlignment="1">
      <alignment vertical="center"/>
    </xf>
    <xf numFmtId="9" fontId="67" fillId="0" borderId="28" xfId="2" applyFont="1" applyBorder="1" applyAlignment="1"/>
    <xf numFmtId="9" fontId="67" fillId="0" borderId="28" xfId="2" applyFont="1" applyBorder="1" applyAlignment="1">
      <alignment vertical="center"/>
    </xf>
    <xf numFmtId="9" fontId="67" fillId="31" borderId="28" xfId="2" applyFont="1" applyFill="1" applyBorder="1" applyAlignment="1"/>
    <xf numFmtId="2" fontId="68" fillId="32" borderId="28" xfId="2" applyNumberFormat="1" applyFont="1" applyFill="1" applyBorder="1" applyAlignment="1">
      <alignment horizontal="right"/>
    </xf>
    <xf numFmtId="164" fontId="68" fillId="32" borderId="28" xfId="2" applyNumberFormat="1" applyFont="1" applyFill="1" applyBorder="1" applyAlignment="1">
      <alignment horizontal="right"/>
    </xf>
    <xf numFmtId="0" fontId="67" fillId="32" borderId="28" xfId="2" applyNumberFormat="1" applyFont="1" applyFill="1" applyBorder="1" applyAlignment="1"/>
    <xf numFmtId="164" fontId="67" fillId="32" borderId="0" xfId="2" applyNumberFormat="1" applyFont="1" applyFill="1" applyAlignment="1"/>
    <xf numFmtId="2" fontId="67" fillId="32" borderId="0" xfId="2" applyNumberFormat="1" applyFont="1" applyFill="1" applyAlignment="1"/>
    <xf numFmtId="171" fontId="67" fillId="0" borderId="0" xfId="2" applyNumberFormat="1" applyFont="1" applyAlignment="1"/>
    <xf numFmtId="172" fontId="67" fillId="0" borderId="0" xfId="2" applyNumberFormat="1" applyFont="1" applyAlignment="1"/>
    <xf numFmtId="2" fontId="67" fillId="0" borderId="0" xfId="2" applyNumberFormat="1" applyFont="1" applyAlignment="1"/>
    <xf numFmtId="9" fontId="67" fillId="0" borderId="0" xfId="2" applyFont="1" applyAlignment="1">
      <alignment vertical="center"/>
    </xf>
    <xf numFmtId="171" fontId="67" fillId="32" borderId="0" xfId="2" applyNumberFormat="1" applyFont="1" applyFill="1" applyAlignment="1"/>
    <xf numFmtId="9" fontId="71" fillId="31" borderId="0" xfId="2" applyFont="1" applyFill="1" applyAlignment="1"/>
    <xf numFmtId="9" fontId="67" fillId="31" borderId="0" xfId="2" applyFont="1" applyFill="1" applyAlignment="1"/>
    <xf numFmtId="2" fontId="67" fillId="31" borderId="0" xfId="2" applyNumberFormat="1" applyFont="1" applyFill="1" applyAlignment="1"/>
    <xf numFmtId="9" fontId="67" fillId="31" borderId="31" xfId="2" applyFont="1" applyFill="1" applyBorder="1" applyAlignment="1"/>
    <xf numFmtId="9" fontId="79" fillId="30" borderId="0" xfId="2" applyFont="1" applyFill="1" applyAlignment="1">
      <alignment vertical="center"/>
    </xf>
    <xf numFmtId="2" fontId="67" fillId="0" borderId="0" xfId="2" applyNumberFormat="1" applyFont="1" applyAlignment="1">
      <alignment horizontal="center" vertical="center"/>
    </xf>
    <xf numFmtId="164" fontId="67" fillId="0" borderId="0" xfId="2" applyNumberFormat="1" applyFont="1" applyAlignment="1"/>
    <xf numFmtId="9" fontId="67" fillId="0" borderId="17" xfId="2" applyFont="1" applyBorder="1" applyAlignment="1">
      <alignment vertical="center"/>
    </xf>
    <xf numFmtId="9" fontId="67" fillId="0" borderId="17" xfId="2" applyFont="1" applyBorder="1" applyAlignment="1"/>
    <xf numFmtId="0" fontId="67" fillId="0" borderId="17" xfId="2" applyNumberFormat="1" applyFont="1" applyBorder="1" applyAlignment="1"/>
    <xf numFmtId="164" fontId="67" fillId="0" borderId="17" xfId="2" applyNumberFormat="1" applyFont="1" applyBorder="1" applyAlignment="1"/>
    <xf numFmtId="9" fontId="71" fillId="31" borderId="17" xfId="2" applyFont="1" applyFill="1" applyBorder="1" applyAlignment="1">
      <alignment vertical="center"/>
    </xf>
    <xf numFmtId="9" fontId="67" fillId="31" borderId="17" xfId="2" applyFont="1" applyFill="1" applyBorder="1" applyAlignment="1"/>
    <xf numFmtId="164" fontId="67" fillId="32" borderId="0" xfId="2" applyNumberFormat="1" applyFont="1" applyFill="1" applyBorder="1" applyAlignment="1"/>
    <xf numFmtId="9" fontId="67" fillId="0" borderId="0" xfId="2" applyFont="1" applyBorder="1" applyAlignment="1">
      <alignment vertical="center"/>
    </xf>
    <xf numFmtId="0" fontId="68" fillId="32" borderId="10" xfId="2" applyNumberFormat="1" applyFont="1" applyFill="1" applyBorder="1" applyAlignment="1">
      <alignment horizontal="right"/>
    </xf>
    <xf numFmtId="38" fontId="68" fillId="32" borderId="28" xfId="2" applyNumberFormat="1" applyFont="1" applyFill="1" applyBorder="1" applyAlignment="1">
      <alignment horizontal="right"/>
    </xf>
    <xf numFmtId="1" fontId="68" fillId="32" borderId="28" xfId="2" applyNumberFormat="1" applyFont="1" applyFill="1" applyBorder="1" applyAlignment="1">
      <alignment horizontal="right"/>
    </xf>
    <xf numFmtId="0" fontId="67" fillId="31" borderId="30" xfId="2" applyNumberFormat="1" applyFont="1" applyFill="1" applyBorder="1" applyAlignment="1"/>
    <xf numFmtId="3" fontId="81" fillId="0" borderId="0" xfId="0" applyNumberFormat="1" applyFont="1"/>
    <xf numFmtId="0" fontId="30" fillId="11" borderId="29" xfId="2" applyNumberFormat="1" applyFont="1" applyFill="1" applyBorder="1" applyAlignment="1"/>
    <xf numFmtId="164" fontId="30" fillId="11" borderId="0" xfId="2" applyNumberFormat="1" applyFont="1" applyFill="1" applyAlignment="1"/>
    <xf numFmtId="3" fontId="80" fillId="0" borderId="0" xfId="0" applyNumberFormat="1" applyFont="1"/>
    <xf numFmtId="3" fontId="82" fillId="23" borderId="33" xfId="0" applyNumberFormat="1" applyFont="1" applyFill="1" applyBorder="1" applyAlignment="1">
      <alignment horizontal="right" vertical="center" wrapText="1" indent="1"/>
    </xf>
    <xf numFmtId="0" fontId="82" fillId="23" borderId="33" xfId="0" applyFont="1" applyFill="1" applyBorder="1" applyAlignment="1">
      <alignment horizontal="right" vertical="center" wrapText="1" indent="1"/>
    </xf>
    <xf numFmtId="164" fontId="67" fillId="32" borderId="0" xfId="2" applyNumberFormat="1" applyFont="1" applyFill="1" applyAlignment="1">
      <alignment horizontal="right"/>
    </xf>
    <xf numFmtId="170" fontId="67" fillId="0" borderId="0" xfId="2" applyNumberFormat="1" applyFont="1" applyAlignment="1"/>
    <xf numFmtId="173" fontId="67" fillId="0" borderId="0" xfId="2" applyNumberFormat="1" applyFont="1" applyAlignment="1"/>
    <xf numFmtId="168" fontId="67" fillId="31" borderId="17" xfId="2" applyNumberFormat="1" applyFont="1" applyFill="1" applyBorder="1" applyAlignment="1"/>
    <xf numFmtId="0" fontId="25" fillId="0" borderId="0" xfId="0" applyFont="1"/>
    <xf numFmtId="0" fontId="0" fillId="33" borderId="0" xfId="0" applyFill="1"/>
    <xf numFmtId="0" fontId="0" fillId="33" borderId="0" xfId="0" applyFill="1" applyAlignment="1">
      <alignment vertical="center" wrapText="1"/>
    </xf>
    <xf numFmtId="9" fontId="67" fillId="33" borderId="0" xfId="2" applyFont="1" applyFill="1" applyAlignment="1">
      <alignment wrapText="1"/>
    </xf>
    <xf numFmtId="0" fontId="34" fillId="25" borderId="0" xfId="0" applyFont="1" applyFill="1"/>
    <xf numFmtId="2" fontId="0" fillId="0" borderId="0" xfId="2" applyNumberFormat="1" applyFont="1"/>
    <xf numFmtId="0" fontId="0" fillId="0" borderId="0" xfId="0" applyAlignment="1">
      <alignment vertical="center"/>
    </xf>
    <xf numFmtId="44" fontId="0" fillId="0" borderId="0" xfId="11" applyFont="1"/>
    <xf numFmtId="44" fontId="0" fillId="0" borderId="0" xfId="0" applyNumberFormat="1"/>
    <xf numFmtId="0" fontId="83" fillId="0" borderId="0" xfId="12"/>
    <xf numFmtId="0" fontId="89" fillId="36" borderId="0" xfId="12" applyFont="1" applyFill="1" applyAlignment="1">
      <alignment horizontal="center" vertical="center" wrapText="1"/>
    </xf>
    <xf numFmtId="0" fontId="83" fillId="37" borderId="0" xfId="12" applyFill="1" applyAlignment="1">
      <alignment horizontal="left"/>
    </xf>
    <xf numFmtId="0" fontId="83" fillId="37" borderId="0" xfId="12" applyFill="1" applyAlignment="1">
      <alignment horizontal="right"/>
    </xf>
    <xf numFmtId="0" fontId="86" fillId="37" borderId="0" xfId="12" applyFont="1" applyFill="1" applyAlignment="1">
      <alignment horizontal="left"/>
    </xf>
    <xf numFmtId="0" fontId="93" fillId="37" borderId="0" xfId="12" applyFont="1" applyFill="1" applyAlignment="1">
      <alignment horizontal="right"/>
    </xf>
    <xf numFmtId="0" fontId="93" fillId="37" borderId="0" xfId="12" applyFont="1" applyFill="1" applyAlignment="1">
      <alignment horizontal="center"/>
    </xf>
    <xf numFmtId="0" fontId="83" fillId="37" borderId="0" xfId="12" applyFill="1"/>
    <xf numFmtId="0" fontId="94" fillId="37" borderId="0" xfId="12" applyFont="1" applyFill="1"/>
    <xf numFmtId="0" fontId="83" fillId="37" borderId="0" xfId="12" applyFill="1" applyAlignment="1">
      <alignment horizontal="right" wrapText="1"/>
    </xf>
    <xf numFmtId="0" fontId="83" fillId="37" borderId="0" xfId="12" applyFill="1" applyAlignment="1">
      <alignment wrapText="1"/>
    </xf>
    <xf numFmtId="174" fontId="93" fillId="37" borderId="0" xfId="12" applyNumberFormat="1" applyFont="1" applyFill="1" applyAlignment="1">
      <alignment horizontal="right"/>
    </xf>
    <xf numFmtId="174" fontId="95" fillId="38" borderId="0" xfId="12" applyNumberFormat="1" applyFont="1" applyFill="1" applyAlignment="1">
      <alignment horizontal="right"/>
    </xf>
    <xf numFmtId="174" fontId="90" fillId="37" borderId="0" xfId="12" applyNumberFormat="1" applyFont="1" applyFill="1" applyAlignment="1">
      <alignment horizontal="right"/>
    </xf>
    <xf numFmtId="175" fontId="90" fillId="37" borderId="0" xfId="12" applyNumberFormat="1" applyFont="1" applyFill="1" applyAlignment="1">
      <alignment horizontal="right"/>
    </xf>
    <xf numFmtId="174" fontId="98" fillId="37" borderId="0" xfId="12" applyNumberFormat="1" applyFont="1" applyFill="1" applyAlignment="1">
      <alignment horizontal="right"/>
    </xf>
    <xf numFmtId="174" fontId="91" fillId="37" borderId="0" xfId="12" applyNumberFormat="1" applyFont="1" applyFill="1" applyAlignment="1">
      <alignment horizontal="right"/>
    </xf>
    <xf numFmtId="166" fontId="90" fillId="37" borderId="0" xfId="12" applyNumberFormat="1" applyFont="1" applyFill="1" applyAlignment="1">
      <alignment horizontal="right"/>
    </xf>
    <xf numFmtId="166" fontId="91" fillId="37" borderId="0" xfId="12" applyNumberFormat="1" applyFont="1" applyFill="1" applyAlignment="1">
      <alignment horizontal="right"/>
    </xf>
    <xf numFmtId="166" fontId="93" fillId="37" borderId="0" xfId="12" applyNumberFormat="1" applyFont="1" applyFill="1" applyAlignment="1">
      <alignment horizontal="right"/>
    </xf>
    <xf numFmtId="166" fontId="83" fillId="37" borderId="0" xfId="12" applyNumberFormat="1" applyFill="1" applyAlignment="1">
      <alignment horizontal="right"/>
    </xf>
    <xf numFmtId="166" fontId="93" fillId="35" borderId="0" xfId="12" applyNumberFormat="1" applyFont="1" applyFill="1" applyAlignment="1">
      <alignment horizontal="right"/>
    </xf>
    <xf numFmtId="10" fontId="68" fillId="0" borderId="0" xfId="2" applyNumberFormat="1" applyFont="1" applyAlignment="1">
      <alignment horizontal="right" wrapText="1"/>
    </xf>
    <xf numFmtId="176" fontId="68" fillId="0" borderId="0" xfId="0" applyNumberFormat="1" applyFont="1" applyAlignment="1">
      <alignment horizontal="right" wrapText="1"/>
    </xf>
    <xf numFmtId="165" fontId="68" fillId="0" borderId="0" xfId="2" applyNumberFormat="1" applyFont="1" applyAlignment="1">
      <alignment horizontal="right" wrapText="1"/>
    </xf>
    <xf numFmtId="174" fontId="92" fillId="37" borderId="0" xfId="12" applyNumberFormat="1" applyFont="1" applyFill="1" applyAlignment="1">
      <alignment horizontal="center"/>
    </xf>
    <xf numFmtId="0" fontId="83" fillId="0" borderId="0" xfId="12" applyAlignment="1">
      <alignment horizontal="center"/>
    </xf>
    <xf numFmtId="166" fontId="90" fillId="37" borderId="0" xfId="12" applyNumberFormat="1" applyFont="1" applyFill="1" applyAlignment="1">
      <alignment horizontal="center"/>
    </xf>
    <xf numFmtId="174" fontId="90" fillId="37" borderId="0" xfId="12" applyNumberFormat="1" applyFont="1" applyFill="1" applyAlignment="1">
      <alignment horizontal="center"/>
    </xf>
    <xf numFmtId="0" fontId="99" fillId="37" borderId="12" xfId="23" quotePrefix="1" applyFill="1" applyBorder="1" applyAlignment="1">
      <alignment horizontal="center" vertical="center" wrapText="1"/>
    </xf>
    <xf numFmtId="0" fontId="99" fillId="37" borderId="12" xfId="23" applyFill="1" applyBorder="1" applyAlignment="1">
      <alignment horizontal="center" vertical="center" wrapText="1"/>
    </xf>
    <xf numFmtId="0" fontId="99" fillId="0" borderId="12" xfId="23" applyBorder="1" applyAlignment="1">
      <alignment horizontal="center" vertical="center"/>
    </xf>
    <xf numFmtId="165" fontId="43" fillId="14" borderId="25" xfId="2" applyNumberFormat="1" applyFont="1" applyFill="1" applyBorder="1" applyAlignment="1">
      <alignment horizontal="right" vertical="center" wrapText="1" indent="1"/>
    </xf>
    <xf numFmtId="0" fontId="55" fillId="0" borderId="0" xfId="4" applyFont="1" applyAlignment="1">
      <alignment horizontal="center"/>
    </xf>
    <xf numFmtId="0" fontId="100" fillId="26" borderId="0" xfId="0" applyFont="1" applyFill="1" applyAlignment="1">
      <alignment horizontal="right"/>
    </xf>
    <xf numFmtId="9" fontId="100" fillId="26" borderId="0" xfId="0" applyNumberFormat="1" applyFont="1" applyFill="1" applyAlignment="1">
      <alignment horizontal="right"/>
    </xf>
    <xf numFmtId="3" fontId="100" fillId="26" borderId="0" xfId="0" applyNumberFormat="1" applyFont="1" applyFill="1" applyAlignment="1">
      <alignment horizontal="right"/>
    </xf>
    <xf numFmtId="3" fontId="101" fillId="26" borderId="0" xfId="0" applyNumberFormat="1" applyFont="1" applyFill="1"/>
    <xf numFmtId="164" fontId="67" fillId="0" borderId="0" xfId="0" applyNumberFormat="1" applyFont="1" applyAlignment="1">
      <alignment horizontal="right"/>
    </xf>
    <xf numFmtId="164" fontId="67" fillId="0" borderId="17" xfId="0" applyNumberFormat="1" applyFont="1" applyBorder="1" applyAlignment="1">
      <alignment horizontal="right"/>
    </xf>
    <xf numFmtId="17" fontId="0" fillId="0" borderId="0" xfId="0" applyNumberFormat="1"/>
    <xf numFmtId="43" fontId="34" fillId="0" borderId="0" xfId="9" applyFont="1" applyBorder="1" applyAlignment="1">
      <alignment horizontal="center"/>
    </xf>
    <xf numFmtId="43" fontId="24" fillId="2" borderId="0" xfId="3" applyNumberFormat="1" applyFont="1" applyBorder="1" applyAlignment="1">
      <alignment horizontal="center"/>
    </xf>
    <xf numFmtId="0" fontId="40" fillId="15" borderId="0" xfId="0" applyFont="1" applyFill="1" applyAlignment="1">
      <alignment horizontal="center"/>
    </xf>
    <xf numFmtId="0" fontId="37" fillId="10" borderId="0" xfId="0" applyFont="1" applyFill="1" applyAlignment="1">
      <alignment horizontal="center"/>
    </xf>
    <xf numFmtId="0" fontId="49" fillId="16" borderId="0" xfId="0" applyFont="1" applyFill="1" applyAlignment="1">
      <alignment horizontal="center"/>
    </xf>
    <xf numFmtId="0" fontId="30" fillId="5" borderId="0" xfId="0" applyFont="1" applyFill="1" applyAlignment="1">
      <alignment horizontal="center" vertical="center"/>
    </xf>
    <xf numFmtId="0" fontId="31" fillId="21" borderId="17" xfId="0" applyFont="1" applyFill="1" applyBorder="1" applyAlignment="1">
      <alignment horizontal="center"/>
    </xf>
    <xf numFmtId="0" fontId="65" fillId="22" borderId="18" xfId="0" applyFont="1" applyFill="1" applyBorder="1" applyAlignment="1">
      <alignment horizontal="center"/>
    </xf>
    <xf numFmtId="0" fontId="65" fillId="22" borderId="19" xfId="0" applyFont="1" applyFill="1" applyBorder="1" applyAlignment="1">
      <alignment horizontal="center"/>
    </xf>
    <xf numFmtId="0" fontId="65" fillId="22" borderId="20" xfId="0" applyFont="1" applyFill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7" fillId="18" borderId="25" xfId="0" applyFont="1" applyFill="1" applyBorder="1" applyAlignment="1">
      <alignment horizontal="center"/>
    </xf>
    <xf numFmtId="0" fontId="77" fillId="18" borderId="0" xfId="0" applyFont="1" applyFill="1" applyAlignment="1">
      <alignment horizontal="center"/>
    </xf>
    <xf numFmtId="0" fontId="77" fillId="18" borderId="1" xfId="0" applyFont="1" applyFill="1" applyBorder="1" applyAlignment="1">
      <alignment horizontal="center"/>
    </xf>
    <xf numFmtId="0" fontId="77" fillId="28" borderId="0" xfId="0" applyFont="1" applyFill="1" applyAlignment="1">
      <alignment horizontal="center"/>
    </xf>
    <xf numFmtId="0" fontId="27" fillId="0" borderId="6" xfId="0" applyFont="1" applyBorder="1" applyAlignment="1">
      <alignment horizontal="center"/>
    </xf>
    <xf numFmtId="164" fontId="30" fillId="27" borderId="21" xfId="0" applyNumberFormat="1" applyFont="1" applyFill="1" applyBorder="1" applyAlignment="1">
      <alignment horizontal="center" vertical="center"/>
    </xf>
    <xf numFmtId="164" fontId="30" fillId="27" borderId="22" xfId="0" applyNumberFormat="1" applyFont="1" applyFill="1" applyBorder="1" applyAlignment="1">
      <alignment horizontal="center" vertical="center"/>
    </xf>
    <xf numFmtId="164" fontId="30" fillId="27" borderId="23" xfId="0" applyNumberFormat="1" applyFont="1" applyFill="1" applyBorder="1" applyAlignment="1">
      <alignment horizontal="center" vertical="center"/>
    </xf>
    <xf numFmtId="0" fontId="27" fillId="27" borderId="24" xfId="0" applyFont="1" applyFill="1" applyBorder="1" applyAlignment="1">
      <alignment horizontal="center"/>
    </xf>
    <xf numFmtId="0" fontId="27" fillId="27" borderId="10" xfId="0" applyFont="1" applyFill="1" applyBorder="1" applyAlignment="1">
      <alignment horizontal="center"/>
    </xf>
    <xf numFmtId="9" fontId="78" fillId="29" borderId="26" xfId="2" applyFont="1" applyFill="1" applyBorder="1" applyAlignment="1">
      <alignment horizontal="center" vertical="center"/>
    </xf>
    <xf numFmtId="9" fontId="71" fillId="5" borderId="32" xfId="2" applyFont="1" applyFill="1" applyBorder="1" applyAlignment="1">
      <alignment horizontal="center"/>
    </xf>
    <xf numFmtId="9" fontId="79" fillId="30" borderId="27" xfId="2" applyFont="1" applyFill="1" applyBorder="1" applyAlignment="1">
      <alignment horizontal="center"/>
    </xf>
    <xf numFmtId="0" fontId="89" fillId="34" borderId="0" xfId="12" applyFont="1" applyFill="1" applyAlignment="1">
      <alignment horizontal="center" vertical="center"/>
    </xf>
    <xf numFmtId="0" fontId="89" fillId="36" borderId="0" xfId="12" applyFont="1" applyFill="1" applyAlignment="1">
      <alignment horizontal="left" vertical="center"/>
    </xf>
    <xf numFmtId="0" fontId="96" fillId="37" borderId="0" xfId="12" applyFont="1" applyFill="1" applyAlignment="1">
      <alignment vertical="top" wrapText="1"/>
    </xf>
    <xf numFmtId="0" fontId="97" fillId="0" borderId="0" xfId="12" applyFont="1" applyAlignment="1">
      <alignment horizontal="center" vertical="center" wrapText="1"/>
    </xf>
    <xf numFmtId="0" fontId="97" fillId="0" borderId="0" xfId="12" applyFont="1" applyAlignment="1">
      <alignment wrapText="1"/>
    </xf>
    <xf numFmtId="0" fontId="87" fillId="34" borderId="0" xfId="12" applyFont="1" applyFill="1" applyAlignment="1">
      <alignment horizontal="center" vertical="center"/>
    </xf>
    <xf numFmtId="0" fontId="88" fillId="35" borderId="0" xfId="12" applyFont="1" applyFill="1" applyAlignment="1">
      <alignment horizontal="center" vertical="center"/>
    </xf>
    <xf numFmtId="0" fontId="89" fillId="34" borderId="0" xfId="12" applyFont="1" applyFill="1" applyAlignment="1">
      <alignment vertical="center"/>
    </xf>
    <xf numFmtId="0" fontId="89" fillId="36" borderId="0" xfId="12" applyFont="1" applyFill="1" applyAlignment="1">
      <alignment horizontal="left"/>
    </xf>
  </cellXfs>
  <cellStyles count="24">
    <cellStyle name="60% - Accent1 2" xfId="7" xr:uid="{8A624A71-AB51-4A86-B633-6B65597F75D5}"/>
    <cellStyle name="60% - Accent1 2 2" xfId="18" xr:uid="{45F21587-9C1D-4BBE-B41D-C7EFE247251D}"/>
    <cellStyle name="60% - Accent3 2" xfId="8" xr:uid="{E6074CFB-6D23-4916-A7FC-AEEF53092EE2}"/>
    <cellStyle name="60% - Accent3 2 2" xfId="19" xr:uid="{CF230D81-895B-4E50-80A6-C4CA7CA87CF8}"/>
    <cellStyle name="Accent6" xfId="3" builtinId="49"/>
    <cellStyle name="Accent6 2" xfId="15" xr:uid="{8F6275A7-9710-473B-914D-D58B3CA0EA75}"/>
    <cellStyle name="Comma" xfId="1" builtinId="3"/>
    <cellStyle name="Comma 2" xfId="6" xr:uid="{5FB101B6-2351-4897-B4F4-3390A18EB7E5}"/>
    <cellStyle name="Comma 2 2" xfId="17" xr:uid="{501D9865-4A2D-4066-8A4A-A839C08797DA}"/>
    <cellStyle name="Comma 3" xfId="9" xr:uid="{F75CAEDF-D7F3-46EC-91F1-B58150787B75}"/>
    <cellStyle name="Comma 3 2" xfId="20" xr:uid="{F5A1B958-CAF5-4506-803F-3701E0A5EB2B}"/>
    <cellStyle name="Comma 4" xfId="10" xr:uid="{8C747A5F-8F3C-4299-B37A-FD47F0A1B88F}"/>
    <cellStyle name="Comma 4 2" xfId="21" xr:uid="{AAAB1ED4-5543-426C-BD5F-F43744521E47}"/>
    <cellStyle name="Comma 5" xfId="13" xr:uid="{18F7E209-A3EE-4D3B-846C-AA82C53689C2}"/>
    <cellStyle name="Currency" xfId="11" builtinId="4"/>
    <cellStyle name="Currency 2" xfId="22" xr:uid="{00496F53-3FE1-4AC3-BFD1-E6260079E47B}"/>
    <cellStyle name="Hyperlink" xfId="23" builtinId="8"/>
    <cellStyle name="Normal" xfId="0" builtinId="0"/>
    <cellStyle name="Normal 2" xfId="4" xr:uid="{298E94EA-F1B2-40FB-BBB2-4A3D5D61EC60}"/>
    <cellStyle name="Normal 2 2" xfId="16" xr:uid="{57377A67-D341-43A2-B24E-15D4AD496CCF}"/>
    <cellStyle name="Normal 3" xfId="5" xr:uid="{FDED77B7-8B33-4B14-A7ED-ACB363B60B3F}"/>
    <cellStyle name="Normal 4" xfId="12" xr:uid="{41985778-C217-4048-BFE8-891B2096B5F4}"/>
    <cellStyle name="Percent" xfId="2" builtinId="5"/>
    <cellStyle name="Percent 2" xfId="14" xr:uid="{6C39A789-C3F7-4ABF-B466-3B753FFE0126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2387708</xdr:colOff>
      <xdr:row>8</xdr:row>
      <xdr:rowOff>135645</xdr:rowOff>
    </xdr:from>
    <xdr:to>
      <xdr:col>11</xdr:col>
      <xdr:colOff>549840</xdr:colOff>
      <xdr:row>16</xdr:row>
      <xdr:rowOff>3925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AF5A30-0740-466F-9D44-6D617D6E17E0}"/>
            </a:ext>
          </a:extLst>
        </xdr:cNvPr>
        <xdr:cNvSpPr txBox="1"/>
      </xdr:nvSpPr>
      <xdr:spPr>
        <a:xfrm rot="20270144">
          <a:off x="2387708" y="1785151"/>
          <a:ext cx="8310179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21463</xdr:colOff>
      <xdr:row>21</xdr:row>
      <xdr:rowOff>85860</xdr:rowOff>
    </xdr:from>
    <xdr:to>
      <xdr:col>4</xdr:col>
      <xdr:colOff>337748</xdr:colOff>
      <xdr:row>29</xdr:row>
      <xdr:rowOff>72323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147E43-16F5-4C03-AC45-DB209FEFA796}"/>
            </a:ext>
          </a:extLst>
        </xdr:cNvPr>
        <xdr:cNvSpPr txBox="1"/>
      </xdr:nvSpPr>
      <xdr:spPr>
        <a:xfrm rot="20270144">
          <a:off x="21463" y="4346621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  <xdr:twoCellAnchor>
    <xdr:from>
      <xdr:col>0</xdr:col>
      <xdr:colOff>603159</xdr:colOff>
      <xdr:row>42</xdr:row>
      <xdr:rowOff>2147</xdr:rowOff>
    </xdr:from>
    <xdr:to>
      <xdr:col>5</xdr:col>
      <xdr:colOff>329162</xdr:colOff>
      <xdr:row>49</xdr:row>
      <xdr:rowOff>171060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9C0517-85DD-41DC-B72E-AFD68BFC3FA6}"/>
            </a:ext>
          </a:extLst>
        </xdr:cNvPr>
        <xdr:cNvSpPr txBox="1"/>
      </xdr:nvSpPr>
      <xdr:spPr>
        <a:xfrm rot="20270144">
          <a:off x="603159" y="8094372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  <xdr:twoCellAnchor>
    <xdr:from>
      <xdr:col>0</xdr:col>
      <xdr:colOff>558083</xdr:colOff>
      <xdr:row>68</xdr:row>
      <xdr:rowOff>171719</xdr:rowOff>
    </xdr:from>
    <xdr:to>
      <xdr:col>5</xdr:col>
      <xdr:colOff>284086</xdr:colOff>
      <xdr:row>76</xdr:row>
      <xdr:rowOff>158182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DD7F2D-E65C-47DE-B131-CE81FD68085E}"/>
            </a:ext>
          </a:extLst>
        </xdr:cNvPr>
        <xdr:cNvSpPr txBox="1"/>
      </xdr:nvSpPr>
      <xdr:spPr>
        <a:xfrm rot="20270144">
          <a:off x="558083" y="13007663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59377</xdr:colOff>
      <xdr:row>14</xdr:row>
      <xdr:rowOff>59377</xdr:rowOff>
    </xdr:from>
    <xdr:to>
      <xdr:col>9</xdr:col>
      <xdr:colOff>20795</xdr:colOff>
      <xdr:row>22</xdr:row>
      <xdr:rowOff>60614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E82EF9-CFF3-4EB8-820E-BE4FED21BA46}"/>
            </a:ext>
          </a:extLst>
        </xdr:cNvPr>
        <xdr:cNvSpPr txBox="1"/>
      </xdr:nvSpPr>
      <xdr:spPr>
        <a:xfrm rot="20270144">
          <a:off x="2582883" y="2889663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27877</xdr:colOff>
      <xdr:row>12</xdr:row>
      <xdr:rowOff>0</xdr:rowOff>
    </xdr:from>
    <xdr:to>
      <xdr:col>11</xdr:col>
      <xdr:colOff>275317</xdr:colOff>
      <xdr:row>19</xdr:row>
      <xdr:rowOff>80043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70D4C6-A38A-41CA-897D-3F51CE3073BC}"/>
            </a:ext>
          </a:extLst>
        </xdr:cNvPr>
        <xdr:cNvSpPr txBox="1"/>
      </xdr:nvSpPr>
      <xdr:spPr>
        <a:xfrm rot="20270144">
          <a:off x="3809999" y="2332463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447772</xdr:colOff>
      <xdr:row>8</xdr:row>
      <xdr:rowOff>7855</xdr:rowOff>
    </xdr:from>
    <xdr:to>
      <xdr:col>10</xdr:col>
      <xdr:colOff>771470</xdr:colOff>
      <xdr:row>16</xdr:row>
      <xdr:rowOff>8480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21FAEF-86E7-4079-AB01-13D52AF488F4}"/>
            </a:ext>
          </a:extLst>
        </xdr:cNvPr>
        <xdr:cNvSpPr txBox="1"/>
      </xdr:nvSpPr>
      <xdr:spPr>
        <a:xfrm rot="20270144">
          <a:off x="4375607" y="1484721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1307522</xdr:colOff>
      <xdr:row>17</xdr:row>
      <xdr:rowOff>86589</xdr:rowOff>
    </xdr:from>
    <xdr:to>
      <xdr:col>6</xdr:col>
      <xdr:colOff>331285</xdr:colOff>
      <xdr:row>24</xdr:row>
      <xdr:rowOff>129885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DFDCD3-C48B-4C42-B419-50801EC3CC95}"/>
            </a:ext>
          </a:extLst>
        </xdr:cNvPr>
        <xdr:cNvSpPr txBox="1"/>
      </xdr:nvSpPr>
      <xdr:spPr>
        <a:xfrm rot="20270144">
          <a:off x="3169227" y="3480953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1417673</xdr:colOff>
      <xdr:row>5</xdr:row>
      <xdr:rowOff>138912</xdr:rowOff>
    </xdr:from>
    <xdr:to>
      <xdr:col>9</xdr:col>
      <xdr:colOff>416869</xdr:colOff>
      <xdr:row>13</xdr:row>
      <xdr:rowOff>7818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CC135C-3BA7-420E-97E1-71EBA3BCC868}"/>
            </a:ext>
          </a:extLst>
        </xdr:cNvPr>
        <xdr:cNvSpPr txBox="1"/>
      </xdr:nvSpPr>
      <xdr:spPr>
        <a:xfrm rot="20270144">
          <a:off x="9143999" y="1255331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746760</xdr:colOff>
      <xdr:row>6</xdr:row>
      <xdr:rowOff>97091</xdr:rowOff>
    </xdr:from>
    <xdr:to>
      <xdr:col>11</xdr:col>
      <xdr:colOff>362112</xdr:colOff>
      <xdr:row>14</xdr:row>
      <xdr:rowOff>34399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6AF1B-7DDC-415F-B4C3-B92EF6789FC6}"/>
            </a:ext>
          </a:extLst>
        </xdr:cNvPr>
        <xdr:cNvSpPr txBox="1"/>
      </xdr:nvSpPr>
      <xdr:spPr>
        <a:xfrm rot="20270144">
          <a:off x="3314700" y="1255331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1112520</xdr:colOff>
      <xdr:row>6</xdr:row>
      <xdr:rowOff>60960</xdr:rowOff>
    </xdr:from>
    <xdr:to>
      <xdr:col>7</xdr:col>
      <xdr:colOff>64932</xdr:colOff>
      <xdr:row>14</xdr:row>
      <xdr:rowOff>43988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087AFB-90BD-4F7D-AECC-C8E0D6442F0C}"/>
            </a:ext>
          </a:extLst>
        </xdr:cNvPr>
        <xdr:cNvSpPr txBox="1"/>
      </xdr:nvSpPr>
      <xdr:spPr>
        <a:xfrm rot="20270144">
          <a:off x="2461260" y="1424940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  <xdr:twoCellAnchor>
    <xdr:from>
      <xdr:col>0</xdr:col>
      <xdr:colOff>1028701</xdr:colOff>
      <xdr:row>22</xdr:row>
      <xdr:rowOff>990600</xdr:rowOff>
    </xdr:from>
    <xdr:to>
      <xdr:col>5</xdr:col>
      <xdr:colOff>522133</xdr:colOff>
      <xdr:row>24</xdr:row>
      <xdr:rowOff>424988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C66F5-A227-4002-9163-472BD67847ED}"/>
            </a:ext>
          </a:extLst>
        </xdr:cNvPr>
        <xdr:cNvSpPr txBox="1"/>
      </xdr:nvSpPr>
      <xdr:spPr>
        <a:xfrm rot="20270144">
          <a:off x="1028701" y="5829300"/>
          <a:ext cx="6938172" cy="1446068"/>
        </a:xfrm>
        <a:prstGeom prst="rect">
          <a:avLst/>
        </a:prstGeom>
        <a:noFill/>
        <a:ln w="9525" cmpd="sng">
          <a:solidFill>
            <a:schemeClr val="lt1">
              <a:shade val="50000"/>
              <a:alpha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600">
              <a:solidFill>
                <a:schemeClr val="dk1">
                  <a:alpha val="30000"/>
                </a:schemeClr>
              </a:solidFill>
            </a:rPr>
            <a:t>Abhishek</a:t>
          </a:r>
          <a:r>
            <a:rPr lang="en-IN" sz="6600" baseline="0">
              <a:solidFill>
                <a:schemeClr val="dk1">
                  <a:alpha val="30000"/>
                </a:schemeClr>
              </a:solidFill>
            </a:rPr>
            <a:t> Kumar</a:t>
          </a:r>
          <a:endParaRPr lang="en-IN" sz="6600">
            <a:solidFill>
              <a:schemeClr val="dk1">
                <a:alpha val="3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50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228635-2166-49E0-938E-BCEB768AF01A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5683D31-C1E4-4180-9782-3A65D66840B2}">
  <we:reference id="wa200000018" version="25.2.0.0" store="en-US" storeType="OMEX"/>
  <we:alternateReferences>
    <we:reference id="WA200000018" version="25.2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C66E-7663-4A64-ABF3-260B2797C2C3}">
  <sheetPr codeName="Sheet1">
    <tabColor theme="3" tint="0.749992370372631"/>
  </sheetPr>
  <dimension ref="A1:N36"/>
  <sheetViews>
    <sheetView showGridLines="0" topLeftCell="A3" zoomScale="85" zoomScaleNormal="85" workbookViewId="0">
      <selection activeCell="P20" sqref="P20"/>
    </sheetView>
  </sheetViews>
  <sheetFormatPr defaultRowHeight="14.4"/>
  <cols>
    <col min="1" max="1" width="41.44140625" bestFit="1" customWidth="1"/>
    <col min="3" max="3" width="11.88671875" customWidth="1"/>
    <col min="4" max="7" width="10.21875" bestFit="1" customWidth="1"/>
    <col min="8" max="12" width="11.21875" bestFit="1" customWidth="1"/>
    <col min="14" max="14" width="10.5546875" bestFit="1" customWidth="1"/>
  </cols>
  <sheetData>
    <row r="1" spans="1:14">
      <c r="A1" s="430"/>
      <c r="B1" s="431" t="s">
        <v>104</v>
      </c>
      <c r="C1" s="431"/>
      <c r="D1" s="431"/>
      <c r="E1" s="431"/>
      <c r="F1" s="431"/>
      <c r="G1" s="431"/>
      <c r="H1" s="432" t="s">
        <v>105</v>
      </c>
      <c r="I1" s="432"/>
      <c r="J1" s="432"/>
      <c r="K1" s="432"/>
      <c r="L1" s="432"/>
    </row>
    <row r="2" spans="1:14">
      <c r="A2" s="430"/>
      <c r="B2" s="431"/>
      <c r="C2" s="431"/>
      <c r="D2" s="431"/>
      <c r="E2" s="431"/>
      <c r="F2" s="431"/>
      <c r="G2" s="431"/>
      <c r="H2" s="432"/>
      <c r="I2" s="432"/>
      <c r="J2" s="432"/>
      <c r="K2" s="432"/>
      <c r="L2" s="432"/>
    </row>
    <row r="3" spans="1:14" ht="18">
      <c r="A3" s="430"/>
      <c r="B3" s="143"/>
      <c r="C3" s="143" t="s">
        <v>106</v>
      </c>
      <c r="D3" s="143" t="s">
        <v>107</v>
      </c>
      <c r="E3" s="143" t="s">
        <v>108</v>
      </c>
      <c r="F3" s="143" t="s">
        <v>109</v>
      </c>
      <c r="G3" s="143" t="s">
        <v>110</v>
      </c>
      <c r="H3" s="144" t="s">
        <v>111</v>
      </c>
      <c r="I3" s="145" t="s">
        <v>112</v>
      </c>
      <c r="J3" s="145" t="s">
        <v>113</v>
      </c>
      <c r="K3" s="145" t="s">
        <v>114</v>
      </c>
      <c r="L3" s="145" t="s">
        <v>115</v>
      </c>
    </row>
    <row r="4" spans="1:14" ht="21">
      <c r="A4" s="116" t="s">
        <v>77</v>
      </c>
      <c r="B4" s="116"/>
      <c r="C4" s="117" t="str">
        <f>C3</f>
        <v>2021A</v>
      </c>
      <c r="D4" s="117" t="str">
        <f t="shared" ref="D4:G4" si="0">D3</f>
        <v>2022A</v>
      </c>
      <c r="E4" s="117" t="str">
        <f t="shared" si="0"/>
        <v>2023A</v>
      </c>
      <c r="F4" s="117" t="str">
        <f t="shared" si="0"/>
        <v>2024A</v>
      </c>
      <c r="G4" s="117" t="str">
        <f t="shared" si="0"/>
        <v>2025A</v>
      </c>
      <c r="H4" s="146" t="str">
        <f>H3</f>
        <v>2026F</v>
      </c>
      <c r="I4" s="146" t="str">
        <f>I3</f>
        <v>2027F</v>
      </c>
      <c r="J4" s="146" t="str">
        <f>J3</f>
        <v>2028F</v>
      </c>
      <c r="K4" s="146" t="str">
        <f>K3</f>
        <v>2029F</v>
      </c>
      <c r="L4" s="146" t="str">
        <f>L3</f>
        <v>2030F</v>
      </c>
    </row>
    <row r="5" spans="1:14" ht="15.6">
      <c r="A5" s="118" t="s">
        <v>78</v>
      </c>
      <c r="B5" s="118"/>
      <c r="C5" s="118"/>
      <c r="D5" s="119"/>
      <c r="E5" s="119"/>
      <c r="F5" s="119"/>
      <c r="G5" s="119"/>
      <c r="H5" s="119"/>
      <c r="I5" s="119"/>
      <c r="J5" s="119"/>
      <c r="K5" s="119"/>
      <c r="L5" s="119"/>
    </row>
    <row r="6" spans="1:14" ht="15.6">
      <c r="A6" s="120" t="s">
        <v>79</v>
      </c>
      <c r="B6" s="121"/>
      <c r="C6" s="122" t="s">
        <v>52</v>
      </c>
      <c r="D6" s="122">
        <f>('Data Sheet'!D14-'Data Sheet'!C14)/'Data Sheet'!C14</f>
        <v>0.11520796121459556</v>
      </c>
      <c r="E6" s="122">
        <f>('Data Sheet'!E14-'Data Sheet'!D14)/'Data Sheet'!D14</f>
        <v>0.15509285741524617</v>
      </c>
      <c r="F6" s="122">
        <f>('Data Sheet'!F14-'Data Sheet'!E14)/'Data Sheet'!E14</f>
        <v>2.1723341036645756E-2</v>
      </c>
      <c r="G6" s="122">
        <f>('Data Sheet'!G14-'Data Sheet'!F14)/'Data Sheet'!F14</f>
        <v>-9.1766834690448496E-3</v>
      </c>
      <c r="H6" s="123">
        <f>$D$29</f>
        <v>0.06</v>
      </c>
      <c r="I6" s="123">
        <f t="shared" ref="I6:L6" si="1">$D$29</f>
        <v>0.06</v>
      </c>
      <c r="J6" s="123">
        <f t="shared" si="1"/>
        <v>0.06</v>
      </c>
      <c r="K6" s="123">
        <f t="shared" si="1"/>
        <v>0.06</v>
      </c>
      <c r="L6" s="123">
        <f t="shared" si="1"/>
        <v>0.06</v>
      </c>
      <c r="N6" s="419"/>
    </row>
    <row r="7" spans="1:14" ht="15.6">
      <c r="A7" s="120" t="s">
        <v>80</v>
      </c>
      <c r="B7" s="121"/>
      <c r="C7" s="122">
        <f>'Data Sheet'!C15/'Data Sheet'!C14</f>
        <v>0.5</v>
      </c>
      <c r="D7" s="122">
        <f>'Data Sheet'!D15/'Data Sheet'!D14</f>
        <v>0.5</v>
      </c>
      <c r="E7" s="122">
        <f>'Data Sheet'!E15/'Data Sheet'!E14</f>
        <v>0.5</v>
      </c>
      <c r="F7" s="122">
        <f>'Data Sheet'!F15/'Data Sheet'!F14</f>
        <v>0.5</v>
      </c>
      <c r="G7" s="122">
        <f>'Data Sheet'!G15/'Data Sheet'!G14</f>
        <v>0.5</v>
      </c>
      <c r="H7" s="124">
        <f>$D$35</f>
        <v>0.5</v>
      </c>
      <c r="I7" s="124">
        <f t="shared" ref="I7:L7" si="2">$D$35</f>
        <v>0.5</v>
      </c>
      <c r="J7" s="124">
        <f t="shared" si="2"/>
        <v>0.5</v>
      </c>
      <c r="K7" s="124">
        <f t="shared" si="2"/>
        <v>0.5</v>
      </c>
      <c r="L7" s="124">
        <f t="shared" si="2"/>
        <v>0.5</v>
      </c>
    </row>
    <row r="8" spans="1:14" ht="15.6">
      <c r="A8" s="120" t="s">
        <v>81</v>
      </c>
      <c r="B8" s="121"/>
      <c r="C8" s="122">
        <f>'Data Sheet'!C16/'Data Sheet'!C14</f>
        <v>0.5</v>
      </c>
      <c r="D8" s="122">
        <f>'Data Sheet'!D16/'Data Sheet'!D14</f>
        <v>0.5</v>
      </c>
      <c r="E8" s="122">
        <f>'Data Sheet'!E16/'Data Sheet'!E14</f>
        <v>0.5</v>
      </c>
      <c r="F8" s="122">
        <f>'Data Sheet'!F16/'Data Sheet'!F14</f>
        <v>0.5</v>
      </c>
      <c r="G8" s="122">
        <f>'Data Sheet'!G16/'Data Sheet'!G14</f>
        <v>0.5</v>
      </c>
      <c r="H8" s="124">
        <f>AVERAGE(C8:G8)</f>
        <v>0.5</v>
      </c>
      <c r="I8" s="124">
        <f t="shared" ref="I8:L8" si="3">AVERAGE(D8:H8)</f>
        <v>0.5</v>
      </c>
      <c r="J8" s="124">
        <f t="shared" si="3"/>
        <v>0.5</v>
      </c>
      <c r="K8" s="124">
        <f t="shared" si="3"/>
        <v>0.5</v>
      </c>
      <c r="L8" s="124">
        <f t="shared" si="3"/>
        <v>0.5</v>
      </c>
    </row>
    <row r="9" spans="1:14" ht="15.6">
      <c r="A9" s="120" t="s">
        <v>82</v>
      </c>
      <c r="B9" s="121"/>
      <c r="C9" s="122">
        <f>'Data Sheet'!C17/'Data Sheet'!C14</f>
        <v>0.2527855745513311</v>
      </c>
      <c r="D9" s="122">
        <f>'Data Sheet'!D17/'Data Sheet'!D14</f>
        <v>0.25485261030393164</v>
      </c>
      <c r="E9" s="122">
        <f>'Data Sheet'!E17/'Data Sheet'!E14</f>
        <v>0.26645757675800597</v>
      </c>
      <c r="F9" s="122">
        <f>'Data Sheet'!F17/'Data Sheet'!F14</f>
        <v>0.26310262375597776</v>
      </c>
      <c r="G9" s="122">
        <f>'Data Sheet'!G17/'Data Sheet'!G14</f>
        <v>0.28707931124445601</v>
      </c>
      <c r="H9" s="124">
        <v>0.26</v>
      </c>
      <c r="I9" s="124">
        <v>0.26</v>
      </c>
      <c r="J9" s="124">
        <v>0.26</v>
      </c>
      <c r="K9" s="124">
        <v>0.26</v>
      </c>
      <c r="L9" s="124">
        <v>0.26</v>
      </c>
    </row>
    <row r="10" spans="1:14" ht="15.6">
      <c r="A10" s="120" t="s">
        <v>174</v>
      </c>
      <c r="B10" s="121"/>
      <c r="C10" s="122">
        <f>-'Calculation Sheet'!C7/'Calculation Sheet'!C5</f>
        <v>2.1479999999999999E-2</v>
      </c>
      <c r="D10" s="122">
        <f>-'Calculation Sheet'!D7/'Calculation Sheet'!D5</f>
        <v>2.1207938883813154E-2</v>
      </c>
      <c r="E10" s="122">
        <f>-'Calculation Sheet'!E7/'Calculation Sheet'!E5</f>
        <v>2.2089250675111222E-2</v>
      </c>
      <c r="F10" s="122">
        <f>-'Calculation Sheet'!F7/'Calculation Sheet'!F5</f>
        <v>2.3083640229317741E-2</v>
      </c>
      <c r="G10" s="122">
        <f>-'Calculation Sheet'!G7/'Calculation Sheet'!G5</f>
        <v>2.5212116701399227E-2</v>
      </c>
      <c r="H10" s="124">
        <v>2.5000000000000001E-2</v>
      </c>
      <c r="I10" s="124">
        <v>2.5000000000000001E-2</v>
      </c>
      <c r="J10" s="124">
        <v>2.5000000000000001E-2</v>
      </c>
      <c r="K10" s="124">
        <v>2.5000000000000001E-2</v>
      </c>
      <c r="L10" s="124">
        <v>2.5000000000000001E-2</v>
      </c>
    </row>
    <row r="11" spans="1:14" ht="15.6">
      <c r="A11" s="125" t="s">
        <v>83</v>
      </c>
      <c r="B11" s="126"/>
      <c r="C11" s="122">
        <f>'Data Sheet'!C20/'Data Sheet'!C14</f>
        <v>3.6361316662413879E-3</v>
      </c>
      <c r="D11" s="122">
        <f>'Data Sheet'!D20/'Data Sheet'!D14</f>
        <v>4.080387446135072E-3</v>
      </c>
      <c r="E11" s="122">
        <f>'Data Sheet'!E20/'Data Sheet'!E14</f>
        <v>7.378672829316606E-3</v>
      </c>
      <c r="F11" s="122">
        <f>'Data Sheet'!F20/'Data Sheet'!F14</f>
        <v>1.3134936021713842E-2</v>
      </c>
      <c r="G11" s="122">
        <f>'Data Sheet'!G20/'Data Sheet'!G14</f>
        <v>2.1425776154448212E-2</v>
      </c>
      <c r="H11" s="127">
        <v>1.4999999999999999E-2</v>
      </c>
      <c r="I11" s="127">
        <v>1.4999999999999999E-2</v>
      </c>
      <c r="J11" s="127">
        <v>1.4999999999999999E-2</v>
      </c>
      <c r="K11" s="127">
        <v>1.4999999999999999E-2</v>
      </c>
      <c r="L11" s="127">
        <v>1.4999999999999999E-2</v>
      </c>
    </row>
    <row r="12" spans="1:14" ht="15.6">
      <c r="A12" s="120" t="s">
        <v>124</v>
      </c>
      <c r="B12" s="121"/>
      <c r="C12" s="122">
        <f>'Data Sheet'!C22/'Data Sheet'!C14</f>
        <v>2.4878795611125285E-3</v>
      </c>
      <c r="D12" s="122">
        <f>'Data Sheet'!D22/'Data Sheet'!D14</f>
        <v>2.0211264920108303E-3</v>
      </c>
      <c r="E12" s="122">
        <f>'Data Sheet'!E22/'Data Sheet'!E14</f>
        <v>1.881809177946517E-3</v>
      </c>
      <c r="F12" s="122">
        <f>'Data Sheet'!F22/'Data Sheet'!F14</f>
        <v>5.3961483779242604E-3</v>
      </c>
      <c r="G12" s="122">
        <f>'Data Sheet'!G22/'Data Sheet'!G14</f>
        <v>6.4407774589094703E-3</v>
      </c>
      <c r="H12" s="124">
        <v>6.0000000000000001E-3</v>
      </c>
      <c r="I12" s="124">
        <v>6.0000000000000001E-3</v>
      </c>
      <c r="J12" s="124">
        <v>6.0000000000000001E-3</v>
      </c>
      <c r="K12" s="124">
        <v>6.0000000000000001E-3</v>
      </c>
      <c r="L12" s="124">
        <v>6.0000000000000001E-3</v>
      </c>
    </row>
    <row r="13" spans="1:14" ht="15.6">
      <c r="A13" s="120" t="s">
        <v>84</v>
      </c>
      <c r="B13" s="121"/>
      <c r="C13" s="122">
        <f>'Data Sheet'!C24/'Data Sheet'!C23</f>
        <v>0.24570997548557422</v>
      </c>
      <c r="D13" s="122">
        <f>'Data Sheet'!D24/'Data Sheet'!D23</f>
        <v>0.25155802593902643</v>
      </c>
      <c r="E13" s="122">
        <f>'Data Sheet'!E24/'Data Sheet'!E23</f>
        <v>0.23988309352517986</v>
      </c>
      <c r="F13" s="122">
        <f>'Data Sheet'!F24/'Data Sheet'!F23</f>
        <v>0.26166882091052707</v>
      </c>
      <c r="G13" s="122">
        <f>'Data Sheet'!G24/'Data Sheet'!G23</f>
        <v>0.26002218348914591</v>
      </c>
      <c r="H13" s="124">
        <v>0.25</v>
      </c>
      <c r="I13" s="124">
        <v>0.25</v>
      </c>
      <c r="J13" s="124">
        <v>0.25</v>
      </c>
      <c r="K13" s="124">
        <v>0.25</v>
      </c>
      <c r="L13" s="124">
        <v>0.25</v>
      </c>
    </row>
    <row r="14" spans="1:14" ht="15.6">
      <c r="A14" s="120" t="s">
        <v>85</v>
      </c>
      <c r="B14" s="121"/>
      <c r="C14" s="128">
        <f>('Data Sheet'!C32/'Data Sheet'!C14)*C21</f>
        <v>18.246895466530578</v>
      </c>
      <c r="D14" s="128">
        <f>('Data Sheet'!D32/'Data Sheet'!D14)*D21</f>
        <v>18.24791213819929</v>
      </c>
      <c r="E14" s="128">
        <f>('Data Sheet'!E32/'Data Sheet'!E14)*E21</f>
        <v>18.25</v>
      </c>
      <c r="F14" s="128">
        <f>('Data Sheet'!F32/'Data Sheet'!F14)*F21</f>
        <v>18.251179397699367</v>
      </c>
      <c r="G14" s="128">
        <f>('Data Sheet'!G32/'Data Sheet'!G14)*G21</f>
        <v>18.247619358205061</v>
      </c>
      <c r="H14" s="128">
        <v>18.25</v>
      </c>
      <c r="I14" s="128">
        <v>18.25</v>
      </c>
      <c r="J14" s="128">
        <v>18.25</v>
      </c>
      <c r="K14" s="128">
        <v>18.25</v>
      </c>
      <c r="L14" s="128">
        <v>18.25</v>
      </c>
    </row>
    <row r="15" spans="1:14" ht="15.6">
      <c r="A15" s="120" t="s">
        <v>86</v>
      </c>
      <c r="B15" s="121"/>
      <c r="C15" s="130">
        <f>('Data Sheet'!C33/'Data Sheet'!C15)*'Assumption Sheet'!C21</f>
        <v>36.493790933061156</v>
      </c>
      <c r="D15" s="130">
        <f>('Data Sheet'!D33/'Data Sheet'!D15)*'Assumption Sheet'!D21</f>
        <v>36.495824276398579</v>
      </c>
      <c r="E15" s="130">
        <f>('Data Sheet'!E33/'Data Sheet'!E15)*'Assumption Sheet'!E21</f>
        <v>36.5</v>
      </c>
      <c r="F15" s="130">
        <f>('Data Sheet'!F33/'Data Sheet'!F15)*'Assumption Sheet'!F21</f>
        <v>36.502358795398735</v>
      </c>
      <c r="G15" s="130">
        <f>('Data Sheet'!G33/'Data Sheet'!G15)*'Assumption Sheet'!G21</f>
        <v>36.495238716410121</v>
      </c>
      <c r="H15" s="130">
        <f>G15</f>
        <v>36.495238716410121</v>
      </c>
      <c r="I15" s="130">
        <f t="shared" ref="I15:L15" si="4">H15</f>
        <v>36.495238716410121</v>
      </c>
      <c r="J15" s="130">
        <f t="shared" si="4"/>
        <v>36.495238716410121</v>
      </c>
      <c r="K15" s="130">
        <f t="shared" si="4"/>
        <v>36.495238716410121</v>
      </c>
      <c r="L15" s="130">
        <f t="shared" si="4"/>
        <v>36.495238716410121</v>
      </c>
    </row>
    <row r="16" spans="1:14" ht="15.6">
      <c r="A16" s="120" t="s">
        <v>87</v>
      </c>
      <c r="B16" s="121"/>
      <c r="C16" s="128">
        <f>('Data Sheet'!C43/'Data Sheet'!C15)*'Assumption Sheet'!C21</f>
        <v>73.003104533469426</v>
      </c>
      <c r="D16" s="128">
        <f>('Data Sheet'!D43/'Data Sheet'!D15)*'Assumption Sheet'!D21</f>
        <v>73.005567631468551</v>
      </c>
      <c r="E16" s="128">
        <f>('Data Sheet'!E43/'Data Sheet'!E15)*'Assumption Sheet'!E21</f>
        <v>73</v>
      </c>
      <c r="F16" s="128">
        <f>('Data Sheet'!F43/'Data Sheet'!F15)*'Assumption Sheet'!F21</f>
        <v>73.004717590797469</v>
      </c>
      <c r="G16" s="128">
        <f>('Data Sheet'!G43/'Data Sheet'!G15)*'Assumption Sheet'!G21</f>
        <v>73.002380641794943</v>
      </c>
      <c r="H16" s="129">
        <v>73</v>
      </c>
      <c r="I16" s="129">
        <v>73</v>
      </c>
      <c r="J16" s="129">
        <v>73</v>
      </c>
      <c r="K16" s="129">
        <v>73</v>
      </c>
      <c r="L16" s="129">
        <v>73</v>
      </c>
    </row>
    <row r="17" spans="1:14" ht="15.6">
      <c r="A17" s="120" t="s">
        <v>116</v>
      </c>
      <c r="B17" s="121"/>
      <c r="C17" s="212">
        <f>-'Data Sheet'!C75/'Data Sheet'!C14</f>
        <v>5.3521306455728501E-2</v>
      </c>
      <c r="D17" s="212">
        <f>-'Data Sheet'!D75/'Data Sheet'!D14</f>
        <v>2.1374366014567363E-2</v>
      </c>
      <c r="E17" s="212">
        <f>-'Data Sheet'!E75/'Data Sheet'!E14</f>
        <v>3.8659623638164407E-2</v>
      </c>
      <c r="F17" s="212">
        <f>-'Data Sheet'!F75/'Data Sheet'!F14</f>
        <v>3.6868295204859763E-2</v>
      </c>
      <c r="G17" s="212">
        <f>-'Data Sheet'!G75/'Data Sheet'!G14</f>
        <v>3.1731020088703363E-2</v>
      </c>
      <c r="H17" s="124">
        <v>0.03</v>
      </c>
      <c r="I17" s="124">
        <v>0.03</v>
      </c>
      <c r="J17" s="124">
        <v>0.03</v>
      </c>
      <c r="K17" s="124">
        <v>0.03</v>
      </c>
      <c r="L17" s="124">
        <v>0.03</v>
      </c>
    </row>
    <row r="18" spans="1:14" ht="15.6">
      <c r="A18" s="120" t="s">
        <v>88</v>
      </c>
      <c r="B18" s="121"/>
      <c r="C18" s="131">
        <v>0</v>
      </c>
      <c r="D18" s="131">
        <v>0</v>
      </c>
      <c r="E18" s="131">
        <v>0</v>
      </c>
      <c r="F18" s="131">
        <v>0</v>
      </c>
      <c r="G18" s="131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</row>
    <row r="19" spans="1:14" ht="15.6">
      <c r="A19" s="120" t="s">
        <v>89</v>
      </c>
      <c r="B19" s="121"/>
      <c r="C19" s="131">
        <v>0</v>
      </c>
      <c r="D19" s="131">
        <v>0</v>
      </c>
      <c r="E19" s="131">
        <v>0</v>
      </c>
      <c r="F19" s="131">
        <v>0</v>
      </c>
      <c r="G19" s="131">
        <v>0</v>
      </c>
      <c r="H19" s="132">
        <v>0</v>
      </c>
      <c r="I19" s="132">
        <v>0</v>
      </c>
      <c r="J19" s="132">
        <v>0</v>
      </c>
      <c r="K19" s="132">
        <v>0</v>
      </c>
      <c r="L19" s="132">
        <v>0</v>
      </c>
    </row>
    <row r="20" spans="1:14" ht="15.6">
      <c r="A20" s="120" t="s">
        <v>90</v>
      </c>
      <c r="B20" s="121"/>
      <c r="C20" s="121">
        <f>0</f>
        <v>0</v>
      </c>
      <c r="D20" s="122">
        <f>-'Data Sheet'!D78/'Data Sheet'!D25</f>
        <v>0.84392933498368405</v>
      </c>
      <c r="E20" s="122">
        <f>-'Data Sheet'!E78/'Data Sheet'!E25</f>
        <v>0.87745243024746133</v>
      </c>
      <c r="F20" s="122">
        <f>-'Data Sheet'!F78/'Data Sheet'!F25</f>
        <v>0.91110678856253646</v>
      </c>
      <c r="G20" s="122">
        <f>-'Data Sheet'!G78/'Data Sheet'!G25</f>
        <v>0.91006423982869378</v>
      </c>
      <c r="H20" s="124">
        <v>0.9</v>
      </c>
      <c r="I20" s="124">
        <v>0.9</v>
      </c>
      <c r="J20" s="124">
        <v>0.9</v>
      </c>
      <c r="K20" s="124">
        <v>0.9</v>
      </c>
      <c r="L20" s="124">
        <v>0.9</v>
      </c>
    </row>
    <row r="21" spans="1:14" ht="15.6">
      <c r="A21" s="120" t="s">
        <v>91</v>
      </c>
      <c r="B21" s="121"/>
      <c r="C21" s="131">
        <v>365</v>
      </c>
      <c r="D21" s="131">
        <v>365</v>
      </c>
      <c r="E21" s="131">
        <v>365</v>
      </c>
      <c r="F21" s="131">
        <v>365</v>
      </c>
      <c r="G21" s="131">
        <v>365</v>
      </c>
      <c r="H21" s="131">
        <v>365</v>
      </c>
      <c r="I21" s="131">
        <v>365</v>
      </c>
      <c r="J21" s="131">
        <v>365</v>
      </c>
      <c r="K21" s="131">
        <v>365</v>
      </c>
      <c r="L21" s="131">
        <v>365</v>
      </c>
    </row>
    <row r="27" spans="1:14" ht="18">
      <c r="A27" s="195" t="s">
        <v>117</v>
      </c>
      <c r="B27" s="195"/>
      <c r="C27" s="195"/>
    </row>
    <row r="28" spans="1:14">
      <c r="A28" s="196" t="s">
        <v>118</v>
      </c>
      <c r="B28" s="197">
        <f>B29-4%</f>
        <v>1.9999999999999997E-2</v>
      </c>
      <c r="C28" s="198"/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</row>
    <row r="29" spans="1:14">
      <c r="A29" s="196" t="s">
        <v>119</v>
      </c>
      <c r="B29" s="197">
        <v>0.06</v>
      </c>
      <c r="C29" s="200" t="s">
        <v>119</v>
      </c>
      <c r="D29" s="201">
        <f>IF(C29="BULL Case",B30,IF(C29="Bear Case",B28,IF(C29="Base Case",B29)))</f>
        <v>0.06</v>
      </c>
      <c r="E29" s="264" t="s">
        <v>120</v>
      </c>
      <c r="F29" s="264"/>
      <c r="G29" s="264"/>
      <c r="H29" s="264"/>
      <c r="I29" s="264"/>
      <c r="J29" s="264"/>
      <c r="K29" s="264"/>
      <c r="L29" s="264"/>
      <c r="M29" s="264"/>
      <c r="N29" s="199"/>
    </row>
    <row r="30" spans="1:14">
      <c r="A30" s="196" t="s">
        <v>121</v>
      </c>
      <c r="B30" s="197">
        <f>B29+4%</f>
        <v>0.1</v>
      </c>
      <c r="C30" s="198"/>
      <c r="D30" s="198"/>
      <c r="E30" s="264" t="s">
        <v>122</v>
      </c>
      <c r="F30" s="264"/>
      <c r="G30" s="264"/>
      <c r="H30" s="264"/>
      <c r="I30" s="264"/>
      <c r="J30" s="264"/>
      <c r="K30" s="264"/>
      <c r="L30" s="264"/>
      <c r="M30" s="264"/>
      <c r="N30" s="199"/>
    </row>
    <row r="31" spans="1:14">
      <c r="A31" s="202"/>
      <c r="B31" s="202"/>
      <c r="C31" s="202"/>
      <c r="D31" s="202"/>
      <c r="E31" s="202"/>
      <c r="F31" s="202"/>
      <c r="G31" s="202"/>
      <c r="H31" s="202"/>
      <c r="I31" s="202"/>
    </row>
    <row r="32" spans="1:14">
      <c r="A32" s="202"/>
      <c r="B32" s="202"/>
      <c r="C32" s="202"/>
      <c r="D32" s="202"/>
      <c r="E32" s="202"/>
      <c r="F32" s="202"/>
      <c r="G32" s="202"/>
      <c r="H32" s="202"/>
      <c r="I32" s="202"/>
    </row>
    <row r="33" spans="1:14" ht="18">
      <c r="A33" s="195" t="s">
        <v>123</v>
      </c>
    </row>
    <row r="34" spans="1:14">
      <c r="A34" s="203" t="s">
        <v>118</v>
      </c>
      <c r="B34" s="204">
        <f>B35-4%</f>
        <v>0.46</v>
      </c>
      <c r="C34" s="203"/>
      <c r="D34" s="203"/>
      <c r="E34" s="205"/>
      <c r="F34" s="205"/>
      <c r="G34" s="205"/>
      <c r="H34" s="205"/>
      <c r="I34" s="205"/>
      <c r="J34" s="205"/>
      <c r="K34" s="205"/>
      <c r="L34" s="205"/>
      <c r="M34" s="205"/>
      <c r="N34" s="205"/>
    </row>
    <row r="35" spans="1:14">
      <c r="A35" s="203" t="s">
        <v>119</v>
      </c>
      <c r="B35" s="204">
        <f>50%</f>
        <v>0.5</v>
      </c>
      <c r="C35" s="206" t="s">
        <v>119</v>
      </c>
      <c r="D35" s="207">
        <f>IF(C35="Bull case",B36,IF(C35="Base Case",B35,IF(C35="Bear Case",B34)))</f>
        <v>0.5</v>
      </c>
      <c r="E35" s="205" t="s">
        <v>120</v>
      </c>
      <c r="F35" s="205"/>
      <c r="G35" s="205"/>
      <c r="H35" s="205"/>
      <c r="I35" s="205"/>
      <c r="J35" s="205"/>
      <c r="K35" s="205"/>
      <c r="L35" s="205"/>
      <c r="M35" s="205"/>
      <c r="N35" s="205"/>
    </row>
    <row r="36" spans="1:14">
      <c r="A36" s="203" t="s">
        <v>121</v>
      </c>
      <c r="B36" s="204">
        <f>B35+4%</f>
        <v>0.54</v>
      </c>
      <c r="C36" s="203"/>
      <c r="D36" s="203"/>
      <c r="E36" s="205" t="s">
        <v>122</v>
      </c>
      <c r="F36" s="205"/>
      <c r="G36" s="205"/>
      <c r="H36" s="205"/>
      <c r="I36" s="205"/>
      <c r="J36" s="205"/>
      <c r="K36" s="205"/>
      <c r="L36" s="205"/>
      <c r="M36" s="205"/>
      <c r="N36" s="205"/>
    </row>
  </sheetData>
  <mergeCells count="3">
    <mergeCell ref="A1:A3"/>
    <mergeCell ref="B1:G2"/>
    <mergeCell ref="H1:L2"/>
  </mergeCells>
  <dataValidations count="2">
    <dataValidation type="list" allowBlank="1" showInputMessage="1" showErrorMessage="1" sqref="C29" xr:uid="{52079529-A32E-45B9-AAE0-297892E3B552}">
      <formula1>$A$28:$A$30</formula1>
    </dataValidation>
    <dataValidation type="list" allowBlank="1" showInputMessage="1" showErrorMessage="1" sqref="C35" xr:uid="{C4C7DC8D-ECF7-4ACF-992B-488236DEC73A}">
      <formula1>$A$34:$A$36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02BB-8852-492F-9432-DCCC2D09D93B}">
  <sheetPr codeName="Sheet2">
    <tabColor rgb="FFFFC000"/>
  </sheetPr>
  <dimension ref="A1:O118"/>
  <sheetViews>
    <sheetView showGridLines="0" topLeftCell="A51" zoomScale="71" zoomScaleNormal="94" workbookViewId="0">
      <selection activeCell="A72" sqref="A72"/>
    </sheetView>
  </sheetViews>
  <sheetFormatPr defaultRowHeight="14.4"/>
  <cols>
    <col min="1" max="1" width="50.44140625" bestFit="1" customWidth="1"/>
    <col min="2" max="2" width="14.5546875" customWidth="1"/>
    <col min="3" max="3" width="13.77734375" customWidth="1"/>
    <col min="4" max="4" width="17.88671875" customWidth="1"/>
    <col min="5" max="5" width="8.6640625" bestFit="1" customWidth="1"/>
    <col min="6" max="6" width="15.109375" customWidth="1"/>
    <col min="7" max="7" width="18.33203125" customWidth="1"/>
    <col min="8" max="8" width="23.77734375" customWidth="1"/>
    <col min="14" max="14" width="11.109375" bestFit="1" customWidth="1"/>
  </cols>
  <sheetData>
    <row r="1" spans="1:8" ht="18">
      <c r="A1" s="65" t="s">
        <v>20</v>
      </c>
      <c r="B1" s="428" t="s">
        <v>46</v>
      </c>
      <c r="C1" s="428"/>
      <c r="D1" s="428"/>
      <c r="E1" s="428"/>
      <c r="F1" s="428"/>
    </row>
    <row r="2" spans="1:8" ht="18">
      <c r="A2" s="65" t="s">
        <v>21</v>
      </c>
      <c r="B2" s="429" t="s">
        <v>28</v>
      </c>
      <c r="C2" s="429"/>
      <c r="D2" s="429"/>
      <c r="E2" s="429"/>
      <c r="F2" s="429"/>
    </row>
    <row r="3" spans="1:8" ht="18">
      <c r="A3" s="65" t="s">
        <v>22</v>
      </c>
      <c r="B3" s="66"/>
      <c r="C3" s="66"/>
      <c r="D3" s="66"/>
      <c r="E3" s="66"/>
      <c r="F3" s="66"/>
    </row>
    <row r="4" spans="1:8" ht="18">
      <c r="A4" s="65"/>
      <c r="B4" s="66"/>
      <c r="C4" s="66"/>
      <c r="D4" s="66"/>
      <c r="E4" s="66"/>
      <c r="F4" s="66"/>
    </row>
    <row r="5" spans="1:8" ht="18">
      <c r="A5" s="65" t="s">
        <v>23</v>
      </c>
      <c r="B5" s="66"/>
      <c r="C5" s="66"/>
      <c r="D5" s="66"/>
      <c r="E5" s="66"/>
      <c r="F5" s="66"/>
    </row>
    <row r="6" spans="1:8" ht="18">
      <c r="A6" s="66" t="s">
        <v>24</v>
      </c>
      <c r="B6" s="66"/>
      <c r="C6" s="66"/>
      <c r="D6" s="66"/>
      <c r="E6" s="66"/>
      <c r="F6" s="66"/>
    </row>
    <row r="7" spans="1:8" ht="18">
      <c r="A7" s="66" t="s">
        <v>25</v>
      </c>
      <c r="B7">
        <v>1</v>
      </c>
      <c r="C7" s="66"/>
      <c r="D7" s="66"/>
      <c r="E7" s="66"/>
      <c r="F7" s="66"/>
    </row>
    <row r="8" spans="1:8" ht="18">
      <c r="A8" s="66" t="s">
        <v>26</v>
      </c>
      <c r="B8">
        <v>1975</v>
      </c>
      <c r="C8" s="66"/>
      <c r="D8" s="66"/>
      <c r="E8" s="66"/>
      <c r="F8" s="66"/>
    </row>
    <row r="9" spans="1:8" ht="18">
      <c r="A9" s="66" t="s">
        <v>27</v>
      </c>
      <c r="B9">
        <v>463997.75</v>
      </c>
      <c r="C9" s="66"/>
      <c r="D9" s="66"/>
      <c r="E9" s="66"/>
      <c r="F9" s="66"/>
    </row>
    <row r="10" spans="1:8" ht="18">
      <c r="A10" s="66"/>
      <c r="B10" s="67"/>
      <c r="C10" s="66"/>
      <c r="D10" s="66"/>
      <c r="E10" s="66"/>
      <c r="F10" s="66"/>
    </row>
    <row r="11" spans="1:8">
      <c r="H11" s="94"/>
    </row>
    <row r="12" spans="1:8">
      <c r="A12" s="76" t="s">
        <v>43</v>
      </c>
      <c r="H12" s="94"/>
    </row>
    <row r="13" spans="1:8">
      <c r="A13" s="79" t="s">
        <v>44</v>
      </c>
      <c r="B13" s="78"/>
      <c r="C13" s="78">
        <v>44286</v>
      </c>
      <c r="D13" s="78">
        <v>44651</v>
      </c>
      <c r="E13" s="78">
        <v>45016</v>
      </c>
      <c r="F13" s="78">
        <v>45382</v>
      </c>
      <c r="G13" s="78">
        <v>45747</v>
      </c>
    </row>
    <row r="14" spans="1:8">
      <c r="A14" s="157" t="s">
        <v>5</v>
      </c>
      <c r="C14" s="17">
        <v>47028</v>
      </c>
      <c r="D14" s="8">
        <v>52446</v>
      </c>
      <c r="E14" s="80">
        <v>60580</v>
      </c>
      <c r="F14" s="80">
        <v>61896</v>
      </c>
      <c r="G14" s="80">
        <v>61328</v>
      </c>
    </row>
    <row r="15" spans="1:8">
      <c r="A15" s="158" t="s">
        <v>7</v>
      </c>
      <c r="B15" s="7"/>
      <c r="C15" s="80">
        <v>23514</v>
      </c>
      <c r="D15" s="80">
        <v>26223</v>
      </c>
      <c r="E15" s="80">
        <v>30290</v>
      </c>
      <c r="F15" s="80">
        <v>30948</v>
      </c>
      <c r="G15" s="80">
        <v>30664</v>
      </c>
    </row>
    <row r="16" spans="1:8">
      <c r="A16" s="158" t="s">
        <v>9</v>
      </c>
      <c r="B16" s="7"/>
      <c r="C16" s="84">
        <v>23514</v>
      </c>
      <c r="D16" s="84">
        <v>26223</v>
      </c>
      <c r="E16" s="84">
        <v>30290</v>
      </c>
      <c r="F16" s="84">
        <v>30948</v>
      </c>
      <c r="G16" s="84">
        <v>30664</v>
      </c>
    </row>
    <row r="17" spans="1:14">
      <c r="A17" s="158" t="s">
        <v>10</v>
      </c>
      <c r="B17" s="7"/>
      <c r="C17" s="80">
        <v>11888</v>
      </c>
      <c r="D17" s="80">
        <v>13366</v>
      </c>
      <c r="E17" s="80">
        <v>16142</v>
      </c>
      <c r="F17" s="80">
        <v>16285</v>
      </c>
      <c r="G17" s="80">
        <v>17606</v>
      </c>
      <c r="N17" s="427"/>
    </row>
    <row r="18" spans="1:14">
      <c r="A18" s="158" t="s">
        <v>11</v>
      </c>
      <c r="B18" s="7"/>
      <c r="C18" s="84">
        <v>11626</v>
      </c>
      <c r="D18" s="84">
        <v>12875</v>
      </c>
      <c r="E18" s="84">
        <v>14148</v>
      </c>
      <c r="F18" s="84">
        <v>14663</v>
      </c>
      <c r="G18" s="84">
        <v>13058</v>
      </c>
    </row>
    <row r="19" spans="1:14">
      <c r="A19" s="158" t="s">
        <v>12</v>
      </c>
      <c r="C19" s="104">
        <v>1074</v>
      </c>
      <c r="D19" s="104">
        <v>1074</v>
      </c>
      <c r="E19" s="104">
        <v>1074</v>
      </c>
      <c r="F19" s="104">
        <v>1074</v>
      </c>
      <c r="G19" s="104">
        <v>1074</v>
      </c>
    </row>
    <row r="20" spans="1:14">
      <c r="A20" s="158" t="s">
        <v>14</v>
      </c>
      <c r="B20" s="7"/>
      <c r="C20" s="80">
        <v>171</v>
      </c>
      <c r="D20" s="80">
        <v>214</v>
      </c>
      <c r="E20" s="80">
        <v>447</v>
      </c>
      <c r="F20" s="80">
        <v>813</v>
      </c>
      <c r="G20" s="80">
        <v>1314</v>
      </c>
    </row>
    <row r="21" spans="1:14">
      <c r="A21" s="158" t="s">
        <v>13</v>
      </c>
      <c r="B21" s="7"/>
      <c r="C21" s="84">
        <v>10723</v>
      </c>
      <c r="D21" s="84">
        <v>12015</v>
      </c>
      <c r="E21" s="84">
        <v>13521</v>
      </c>
      <c r="F21" s="84">
        <v>14402</v>
      </c>
      <c r="G21" s="84">
        <v>13298</v>
      </c>
    </row>
    <row r="22" spans="1:14">
      <c r="A22" s="158" t="s">
        <v>15</v>
      </c>
      <c r="B22" s="7"/>
      <c r="C22" s="45">
        <v>117</v>
      </c>
      <c r="D22" s="45">
        <v>106</v>
      </c>
      <c r="E22" s="45">
        <v>114</v>
      </c>
      <c r="F22" s="45">
        <v>334</v>
      </c>
      <c r="G22" s="45">
        <v>395</v>
      </c>
    </row>
    <row r="23" spans="1:14">
      <c r="A23" s="158" t="s">
        <v>16</v>
      </c>
      <c r="B23" s="7"/>
      <c r="C23" s="147">
        <v>10606</v>
      </c>
      <c r="D23" s="147">
        <v>11874</v>
      </c>
      <c r="E23" s="147">
        <v>13344</v>
      </c>
      <c r="F23" s="147">
        <v>13926</v>
      </c>
      <c r="G23" s="147">
        <v>12622</v>
      </c>
    </row>
    <row r="24" spans="1:14">
      <c r="A24" s="158" t="s">
        <v>17</v>
      </c>
      <c r="B24" s="19"/>
      <c r="C24" s="45">
        <v>2606</v>
      </c>
      <c r="D24" s="45">
        <v>2987</v>
      </c>
      <c r="E24" s="45">
        <v>3201</v>
      </c>
      <c r="F24" s="45">
        <v>3644</v>
      </c>
      <c r="G24" s="45">
        <v>3282</v>
      </c>
    </row>
    <row r="25" spans="1:14">
      <c r="A25" s="158" t="s">
        <v>19</v>
      </c>
      <c r="B25" s="7"/>
      <c r="C25" s="84">
        <v>8000</v>
      </c>
      <c r="D25" s="84">
        <v>8887</v>
      </c>
      <c r="E25" s="84">
        <v>10143</v>
      </c>
      <c r="F25" s="84">
        <v>10282</v>
      </c>
      <c r="G25" s="84">
        <v>9340</v>
      </c>
    </row>
    <row r="27" spans="1:14">
      <c r="A27" s="76" t="s">
        <v>29</v>
      </c>
    </row>
    <row r="28" spans="1:14">
      <c r="A28" s="79" t="s">
        <v>44</v>
      </c>
      <c r="B28" s="78"/>
      <c r="C28" s="78">
        <v>44286</v>
      </c>
      <c r="D28" s="78">
        <v>44651</v>
      </c>
      <c r="E28" s="78">
        <v>45016</v>
      </c>
      <c r="F28" s="78">
        <v>45382</v>
      </c>
      <c r="G28" s="78">
        <v>45747</v>
      </c>
    </row>
    <row r="29" spans="1:14">
      <c r="A29" s="19"/>
      <c r="B29" s="19"/>
      <c r="C29" s="19"/>
      <c r="D29" s="19"/>
      <c r="E29" s="19"/>
      <c r="F29" s="19"/>
      <c r="G29" s="19"/>
    </row>
    <row r="30" spans="1:14">
      <c r="A30" s="153" t="s">
        <v>30</v>
      </c>
      <c r="B30" s="153"/>
      <c r="C30" s="139"/>
      <c r="D30" s="139"/>
      <c r="E30" s="140"/>
      <c r="F30" s="140"/>
      <c r="G30" s="138"/>
    </row>
    <row r="31" spans="1:14">
      <c r="A31" s="155" t="s">
        <v>92</v>
      </c>
      <c r="B31" s="155"/>
      <c r="C31" s="138">
        <v>7557</v>
      </c>
      <c r="D31" s="138">
        <v>8914</v>
      </c>
      <c r="E31" s="142">
        <v>8951</v>
      </c>
      <c r="F31" s="142">
        <v>8799</v>
      </c>
      <c r="G31" s="148">
        <v>9049</v>
      </c>
    </row>
    <row r="32" spans="1:14">
      <c r="A32" s="155" t="s">
        <v>31</v>
      </c>
      <c r="B32" s="155"/>
      <c r="C32" s="149">
        <v>2351</v>
      </c>
      <c r="D32" s="138">
        <v>2622</v>
      </c>
      <c r="E32" s="142">
        <v>3029</v>
      </c>
      <c r="F32" s="142">
        <v>3095</v>
      </c>
      <c r="G32" s="150">
        <v>3066</v>
      </c>
    </row>
    <row r="33" spans="1:15">
      <c r="A33" s="155" t="s">
        <v>32</v>
      </c>
      <c r="B33" s="155"/>
      <c r="C33" s="138">
        <v>2351</v>
      </c>
      <c r="D33" s="138">
        <v>2622</v>
      </c>
      <c r="E33" s="142">
        <v>3029</v>
      </c>
      <c r="F33" s="142">
        <v>3095</v>
      </c>
      <c r="G33" s="150">
        <v>3066</v>
      </c>
    </row>
    <row r="34" spans="1:15">
      <c r="A34" s="155" t="s">
        <v>93</v>
      </c>
      <c r="B34" s="155"/>
      <c r="C34" s="138">
        <v>0</v>
      </c>
      <c r="D34" s="138">
        <v>0</v>
      </c>
      <c r="E34" s="138">
        <v>0</v>
      </c>
      <c r="F34" s="138">
        <v>0</v>
      </c>
      <c r="G34" s="138">
        <v>0</v>
      </c>
    </row>
    <row r="35" spans="1:15">
      <c r="A35" s="153" t="s">
        <v>33</v>
      </c>
      <c r="B35" s="153"/>
      <c r="C35" s="139">
        <f>SUM(C31:C34)</f>
        <v>12259</v>
      </c>
      <c r="D35" s="139">
        <f t="shared" ref="D35:F35" si="0">SUM(D31:D34)</f>
        <v>14158</v>
      </c>
      <c r="E35" s="139">
        <f t="shared" si="0"/>
        <v>15009</v>
      </c>
      <c r="F35" s="139">
        <f t="shared" si="0"/>
        <v>14989</v>
      </c>
      <c r="G35" s="139">
        <f>SUM(G31:G34)</f>
        <v>15181</v>
      </c>
    </row>
    <row r="36" spans="1:15">
      <c r="A36" s="159"/>
      <c r="B36" s="159"/>
      <c r="C36" s="138"/>
      <c r="D36" s="138"/>
      <c r="E36" s="140"/>
      <c r="F36" s="140"/>
      <c r="G36" s="138"/>
    </row>
    <row r="37" spans="1:15">
      <c r="A37" s="153" t="s">
        <v>94</v>
      </c>
      <c r="B37" s="153"/>
      <c r="C37" s="139"/>
      <c r="D37" s="139"/>
      <c r="E37" s="140"/>
      <c r="F37" s="140"/>
      <c r="G37" s="138"/>
    </row>
    <row r="38" spans="1:15">
      <c r="A38" s="155" t="s">
        <v>95</v>
      </c>
      <c r="B38" s="155"/>
      <c r="C38" s="138">
        <v>51443</v>
      </c>
      <c r="D38" s="138">
        <v>51473</v>
      </c>
      <c r="E38" s="142">
        <v>52678</v>
      </c>
      <c r="F38" s="142">
        <v>53744</v>
      </c>
      <c r="G38" s="148">
        <v>54335</v>
      </c>
    </row>
    <row r="39" spans="1:15">
      <c r="A39" s="19"/>
      <c r="B39" s="19"/>
      <c r="C39" s="138"/>
      <c r="D39" s="138"/>
      <c r="E39" s="140"/>
      <c r="F39" s="140"/>
      <c r="G39" s="138"/>
    </row>
    <row r="40" spans="1:15">
      <c r="A40" s="7" t="s">
        <v>34</v>
      </c>
      <c r="B40" s="7"/>
      <c r="C40" s="139">
        <f>63702</f>
        <v>63702</v>
      </c>
      <c r="D40" s="139">
        <v>65631</v>
      </c>
      <c r="E40" s="151">
        <f>SUM(E35,E38)</f>
        <v>67687</v>
      </c>
      <c r="F40" s="139">
        <v>68733</v>
      </c>
      <c r="G40" s="139">
        <v>69516</v>
      </c>
      <c r="O40" s="77"/>
    </row>
    <row r="41" spans="1:15">
      <c r="A41" s="19"/>
      <c r="B41" s="19"/>
      <c r="C41" s="138"/>
      <c r="D41" s="138"/>
      <c r="E41" s="140"/>
      <c r="F41" s="140"/>
      <c r="G41" s="138"/>
      <c r="O41" s="77"/>
    </row>
    <row r="42" spans="1:15">
      <c r="A42" s="153" t="s">
        <v>96</v>
      </c>
      <c r="B42" s="153"/>
      <c r="C42" s="139"/>
      <c r="D42" s="139"/>
      <c r="E42" s="140"/>
      <c r="F42" s="140"/>
      <c r="G42" s="138"/>
      <c r="O42" s="77"/>
    </row>
    <row r="43" spans="1:15">
      <c r="A43" s="155" t="s">
        <v>57</v>
      </c>
      <c r="B43" s="155"/>
      <c r="C43" s="138">
        <v>4703</v>
      </c>
      <c r="D43" s="138">
        <v>5245</v>
      </c>
      <c r="E43" s="142">
        <v>6058</v>
      </c>
      <c r="F43" s="142">
        <v>6190</v>
      </c>
      <c r="G43" s="150">
        <v>6133</v>
      </c>
      <c r="O43" s="77"/>
    </row>
    <row r="44" spans="1:15">
      <c r="A44" s="155" t="s">
        <v>97</v>
      </c>
      <c r="B44" s="155"/>
      <c r="C44" s="138" t="s">
        <v>52</v>
      </c>
      <c r="D44" s="138" t="s">
        <v>52</v>
      </c>
      <c r="E44" s="138" t="s">
        <v>52</v>
      </c>
      <c r="F44" s="138" t="s">
        <v>52</v>
      </c>
      <c r="G44" s="138" t="s">
        <v>52</v>
      </c>
    </row>
    <row r="45" spans="1:15">
      <c r="A45" s="155" t="s">
        <v>98</v>
      </c>
      <c r="B45" s="155"/>
      <c r="C45" s="138" t="s">
        <v>52</v>
      </c>
      <c r="D45" s="138" t="s">
        <v>52</v>
      </c>
      <c r="E45" s="138" t="s">
        <v>52</v>
      </c>
      <c r="F45" s="138" t="s">
        <v>52</v>
      </c>
      <c r="G45" s="138" t="s">
        <v>52</v>
      </c>
    </row>
    <row r="46" spans="1:15">
      <c r="A46" s="153" t="s">
        <v>99</v>
      </c>
      <c r="B46" s="153"/>
      <c r="C46" s="139">
        <f>SUM(C43:C45)</f>
        <v>4703</v>
      </c>
      <c r="D46" s="139">
        <f t="shared" ref="D46:F46" si="1">SUM(D43:D45)</f>
        <v>5245</v>
      </c>
      <c r="E46" s="139">
        <f t="shared" si="1"/>
        <v>6058</v>
      </c>
      <c r="F46" s="139">
        <f t="shared" si="1"/>
        <v>6190</v>
      </c>
      <c r="G46" s="139">
        <f>SUM(G43:G45)</f>
        <v>6133</v>
      </c>
    </row>
    <row r="47" spans="1:15">
      <c r="A47" s="159"/>
      <c r="B47" s="159"/>
      <c r="C47" s="138"/>
      <c r="D47" s="138"/>
      <c r="E47" s="140"/>
      <c r="F47" s="140"/>
      <c r="G47" s="138"/>
    </row>
    <row r="48" spans="1:15">
      <c r="A48" s="153" t="s">
        <v>100</v>
      </c>
      <c r="B48" s="153"/>
      <c r="C48" s="139"/>
      <c r="D48" s="139"/>
      <c r="E48" s="140"/>
      <c r="F48" s="140"/>
      <c r="G48" s="138"/>
    </row>
    <row r="49" spans="1:7">
      <c r="A49" s="155" t="s">
        <v>101</v>
      </c>
      <c r="B49" s="155"/>
      <c r="C49" s="138">
        <v>11325</v>
      </c>
      <c r="D49" s="138">
        <v>11325</v>
      </c>
      <c r="E49" s="138">
        <v>11325</v>
      </c>
      <c r="F49" s="138">
        <v>11325</v>
      </c>
      <c r="G49" s="138">
        <v>11325</v>
      </c>
    </row>
    <row r="50" spans="1:7">
      <c r="A50" s="159"/>
      <c r="B50" s="159"/>
      <c r="C50" s="138"/>
      <c r="D50" s="138"/>
      <c r="E50" s="140"/>
      <c r="F50" s="140"/>
      <c r="G50" s="138"/>
    </row>
    <row r="51" spans="1:7">
      <c r="A51" s="7" t="s">
        <v>35</v>
      </c>
      <c r="B51" s="7"/>
      <c r="C51" s="139">
        <f>SUM(C46:C49)</f>
        <v>16028</v>
      </c>
      <c r="D51" s="139">
        <f t="shared" ref="D51:F51" si="2">SUM(D46:D49)</f>
        <v>16570</v>
      </c>
      <c r="E51" s="139">
        <f t="shared" si="2"/>
        <v>17383</v>
      </c>
      <c r="F51" s="139">
        <f t="shared" si="2"/>
        <v>17515</v>
      </c>
      <c r="G51" s="139">
        <f>SUM(G46:G49)</f>
        <v>17458</v>
      </c>
    </row>
    <row r="52" spans="1:7">
      <c r="A52" s="20"/>
      <c r="B52" s="19"/>
      <c r="C52" s="138"/>
      <c r="D52" s="138"/>
      <c r="E52" s="140"/>
      <c r="F52" s="140"/>
      <c r="G52" s="138"/>
    </row>
    <row r="53" spans="1:7">
      <c r="A53" s="159" t="s">
        <v>36</v>
      </c>
      <c r="B53" s="159"/>
      <c r="C53" s="138">
        <v>235</v>
      </c>
      <c r="D53" s="138">
        <v>235</v>
      </c>
      <c r="E53" s="138">
        <v>235</v>
      </c>
      <c r="F53" s="138">
        <v>235</v>
      </c>
      <c r="G53" s="138">
        <v>235</v>
      </c>
    </row>
    <row r="54" spans="1:7">
      <c r="A54" s="159" t="s">
        <v>37</v>
      </c>
      <c r="B54" s="159"/>
      <c r="C54" s="138" t="s">
        <v>52</v>
      </c>
      <c r="D54" s="138" t="s">
        <v>52</v>
      </c>
      <c r="E54" s="138" t="s">
        <v>52</v>
      </c>
      <c r="F54" s="138" t="s">
        <v>52</v>
      </c>
      <c r="G54" s="138" t="s">
        <v>52</v>
      </c>
    </row>
    <row r="55" spans="1:7">
      <c r="A55" s="159" t="s">
        <v>38</v>
      </c>
      <c r="B55" s="159"/>
      <c r="C55" s="138">
        <v>47439</v>
      </c>
      <c r="D55" s="138">
        <v>48826</v>
      </c>
      <c r="E55" s="142">
        <v>50069</v>
      </c>
      <c r="F55" s="142">
        <v>50983</v>
      </c>
      <c r="G55" s="148">
        <v>51823</v>
      </c>
    </row>
    <row r="56" spans="1:7">
      <c r="A56" s="7" t="s">
        <v>39</v>
      </c>
      <c r="B56" s="7"/>
      <c r="C56" s="139">
        <f>SUM(C53:C55)</f>
        <v>47674</v>
      </c>
      <c r="D56" s="139">
        <f t="shared" ref="D56:F56" si="3">SUM(D53:D55)</f>
        <v>49061</v>
      </c>
      <c r="E56" s="139">
        <f t="shared" si="3"/>
        <v>50304</v>
      </c>
      <c r="F56" s="139">
        <f t="shared" si="3"/>
        <v>51218</v>
      </c>
      <c r="G56" s="139">
        <f>SUM(G53:G55)</f>
        <v>52058</v>
      </c>
    </row>
    <row r="57" spans="1:7">
      <c r="A57" s="20"/>
      <c r="B57" s="19"/>
      <c r="C57" s="138"/>
      <c r="D57" s="138"/>
      <c r="E57" s="140"/>
      <c r="F57" s="140"/>
      <c r="G57" s="138"/>
    </row>
    <row r="58" spans="1:7">
      <c r="A58" s="7" t="s">
        <v>40</v>
      </c>
      <c r="B58" s="7"/>
      <c r="C58" s="139">
        <f>C51+C56</f>
        <v>63702</v>
      </c>
      <c r="D58" s="139">
        <f t="shared" ref="D58:F58" si="4">D51+D56</f>
        <v>65631</v>
      </c>
      <c r="E58" s="139">
        <f t="shared" si="4"/>
        <v>67687</v>
      </c>
      <c r="F58" s="139">
        <f t="shared" si="4"/>
        <v>68733</v>
      </c>
      <c r="G58" s="139">
        <f>G51+G56</f>
        <v>69516</v>
      </c>
    </row>
    <row r="59" spans="1:7">
      <c r="A59" s="24" t="s">
        <v>41</v>
      </c>
      <c r="B59" s="24"/>
      <c r="C59" s="141">
        <f>IF(C40-C58=0,0,1)</f>
        <v>0</v>
      </c>
      <c r="D59" s="141">
        <f t="shared" ref="D59:F59" si="5">IF(D40-D58=0,0,1)</f>
        <v>0</v>
      </c>
      <c r="E59" s="141">
        <f>IF(E40-E58=0,0,1)</f>
        <v>0</v>
      </c>
      <c r="F59" s="141">
        <f t="shared" si="5"/>
        <v>0</v>
      </c>
      <c r="G59" s="141">
        <f>IF(G40-G58=0,0,1)</f>
        <v>0</v>
      </c>
    </row>
    <row r="60" spans="1:7">
      <c r="A60" s="24"/>
      <c r="B60" s="24"/>
      <c r="C60" s="141"/>
      <c r="D60" s="141"/>
      <c r="E60" s="141"/>
      <c r="F60" s="141"/>
      <c r="G60" s="141"/>
    </row>
    <row r="61" spans="1:7">
      <c r="A61" s="137"/>
      <c r="B61" s="137"/>
      <c r="C61" s="141"/>
      <c r="D61" s="141"/>
      <c r="E61" s="141"/>
      <c r="F61" s="141"/>
      <c r="G61" s="141"/>
    </row>
    <row r="62" spans="1:7">
      <c r="A62" s="76" t="s">
        <v>47</v>
      </c>
    </row>
    <row r="63" spans="1:7">
      <c r="A63" s="79" t="s">
        <v>44</v>
      </c>
      <c r="B63" s="78"/>
      <c r="C63" s="78">
        <v>44286</v>
      </c>
      <c r="D63" s="78">
        <v>44651</v>
      </c>
      <c r="E63" s="78">
        <v>45016</v>
      </c>
      <c r="F63" s="78">
        <v>45382</v>
      </c>
      <c r="G63" s="78">
        <v>45747</v>
      </c>
    </row>
    <row r="64" spans="1:7">
      <c r="A64" s="3"/>
      <c r="B64" s="3"/>
      <c r="C64" s="3"/>
      <c r="D64" s="3"/>
      <c r="E64" s="3"/>
      <c r="F64" s="3"/>
      <c r="G64" s="3"/>
    </row>
    <row r="65" spans="1:7">
      <c r="A65" s="7" t="s">
        <v>54</v>
      </c>
      <c r="B65" s="7"/>
      <c r="C65" s="7"/>
      <c r="D65" s="7"/>
      <c r="E65" s="19"/>
      <c r="F65" s="19"/>
      <c r="G65" s="19"/>
    </row>
    <row r="66" spans="1:7">
      <c r="A66" s="153" t="s">
        <v>19</v>
      </c>
      <c r="B66" s="153"/>
      <c r="C66" s="84">
        <f>C25</f>
        <v>8000</v>
      </c>
      <c r="D66" s="84">
        <f>D25</f>
        <v>8887</v>
      </c>
      <c r="E66" s="84">
        <f>E25</f>
        <v>10143</v>
      </c>
      <c r="F66" s="84">
        <f>F25</f>
        <v>10282</v>
      </c>
      <c r="G66" s="84">
        <f>G25</f>
        <v>9340</v>
      </c>
    </row>
    <row r="67" spans="1:7">
      <c r="A67" s="154" t="s">
        <v>55</v>
      </c>
      <c r="B67" s="154"/>
      <c r="C67" s="17"/>
      <c r="D67" s="17"/>
      <c r="E67" s="81"/>
      <c r="F67" s="81"/>
      <c r="G67" s="81"/>
    </row>
    <row r="68" spans="1:7">
      <c r="A68" s="155" t="s">
        <v>102</v>
      </c>
      <c r="B68" s="155"/>
      <c r="C68" s="80">
        <f>C19</f>
        <v>1074</v>
      </c>
      <c r="D68" s="80">
        <f>D19</f>
        <v>1074</v>
      </c>
      <c r="E68" s="80">
        <f>E19</f>
        <v>1074</v>
      </c>
      <c r="F68" s="80">
        <f>F19</f>
        <v>1074</v>
      </c>
      <c r="G68" s="80">
        <f>G19</f>
        <v>1074</v>
      </c>
    </row>
    <row r="69" spans="1:7">
      <c r="A69" s="154" t="s">
        <v>56</v>
      </c>
      <c r="B69" s="154"/>
      <c r="C69" s="17"/>
      <c r="D69" s="17"/>
      <c r="E69" s="81"/>
      <c r="F69" s="81"/>
      <c r="G69" s="81"/>
    </row>
    <row r="70" spans="1:7">
      <c r="A70" s="155" t="s">
        <v>31</v>
      </c>
      <c r="B70" s="155"/>
      <c r="C70" s="81" t="s">
        <v>52</v>
      </c>
      <c r="D70" s="81">
        <f t="shared" ref="D70:G71" si="6">-(D32-C32)</f>
        <v>-271</v>
      </c>
      <c r="E70" s="81">
        <f t="shared" si="6"/>
        <v>-407</v>
      </c>
      <c r="F70" s="81">
        <f t="shared" si="6"/>
        <v>-66</v>
      </c>
      <c r="G70" s="81">
        <f t="shared" si="6"/>
        <v>29</v>
      </c>
    </row>
    <row r="71" spans="1:7">
      <c r="A71" s="155" t="s">
        <v>32</v>
      </c>
      <c r="B71" s="155"/>
      <c r="C71" s="81" t="s">
        <v>52</v>
      </c>
      <c r="D71" s="81">
        <f t="shared" si="6"/>
        <v>-271</v>
      </c>
      <c r="E71" s="81">
        <f t="shared" si="6"/>
        <v>-407</v>
      </c>
      <c r="F71" s="81">
        <f t="shared" si="6"/>
        <v>-66</v>
      </c>
      <c r="G71" s="81">
        <f t="shared" si="6"/>
        <v>29</v>
      </c>
    </row>
    <row r="72" spans="1:7">
      <c r="A72" s="155" t="s">
        <v>57</v>
      </c>
      <c r="B72" s="155"/>
      <c r="C72" s="81" t="s">
        <v>52</v>
      </c>
      <c r="D72" s="81">
        <f>(D43-C43)</f>
        <v>542</v>
      </c>
      <c r="E72" s="81">
        <f>(E43-D43)</f>
        <v>813</v>
      </c>
      <c r="F72" s="81">
        <f>(F43-E43)</f>
        <v>132</v>
      </c>
      <c r="G72" s="81">
        <f>(G43-F43)</f>
        <v>-57</v>
      </c>
    </row>
    <row r="73" spans="1:7">
      <c r="A73" s="156" t="s">
        <v>58</v>
      </c>
      <c r="B73" s="156"/>
      <c r="C73" s="84">
        <f>SUM(C66:C72)</f>
        <v>9074</v>
      </c>
      <c r="D73" s="84">
        <f>SUM(D66:D72)</f>
        <v>9961</v>
      </c>
      <c r="E73" s="84">
        <f>SUM(E66:E72)</f>
        <v>11216</v>
      </c>
      <c r="F73" s="84">
        <f>SUM(F66:F72)</f>
        <v>11356</v>
      </c>
      <c r="G73" s="84">
        <f>SUM(G66:G72)</f>
        <v>10415</v>
      </c>
    </row>
    <row r="74" spans="1:7">
      <c r="A74" s="7" t="s">
        <v>59</v>
      </c>
      <c r="B74" s="7"/>
      <c r="C74" s="17"/>
      <c r="D74" s="17"/>
      <c r="E74" s="81"/>
      <c r="F74" s="81"/>
      <c r="G74" s="81"/>
    </row>
    <row r="75" spans="1:7">
      <c r="A75" s="155" t="s">
        <v>60</v>
      </c>
      <c r="B75" s="155"/>
      <c r="C75" s="81">
        <f>-'Calculation Sheet'!C6</f>
        <v>-2517</v>
      </c>
      <c r="D75" s="81">
        <f>-'Calculation Sheet'!D6</f>
        <v>-1121</v>
      </c>
      <c r="E75" s="81">
        <f>-'Calculation Sheet'!E6</f>
        <v>-2342</v>
      </c>
      <c r="F75" s="81">
        <f>-'Calculation Sheet'!F6</f>
        <v>-2282</v>
      </c>
      <c r="G75" s="81">
        <f>-'Calculation Sheet'!G6</f>
        <v>-1946</v>
      </c>
    </row>
    <row r="76" spans="1:7">
      <c r="A76" s="156" t="s">
        <v>61</v>
      </c>
      <c r="B76" s="156"/>
      <c r="C76" s="17">
        <f>C75</f>
        <v>-2517</v>
      </c>
      <c r="D76" s="17">
        <f t="shared" ref="D76:F76" si="7">D75</f>
        <v>-1121</v>
      </c>
      <c r="E76" s="17">
        <f t="shared" si="7"/>
        <v>-2342</v>
      </c>
      <c r="F76" s="17">
        <f t="shared" si="7"/>
        <v>-2282</v>
      </c>
      <c r="G76" s="17">
        <f>G75</f>
        <v>-1946</v>
      </c>
    </row>
    <row r="77" spans="1:7">
      <c r="A77" s="7" t="s">
        <v>62</v>
      </c>
      <c r="B77" s="7"/>
      <c r="C77" s="17"/>
      <c r="D77" s="17"/>
      <c r="E77" s="81"/>
      <c r="F77" s="81"/>
      <c r="G77" s="81"/>
    </row>
    <row r="78" spans="1:7">
      <c r="A78" s="155" t="s">
        <v>103</v>
      </c>
      <c r="B78" s="155"/>
      <c r="C78" s="81" t="str">
        <f>'Calculation Sheet'!C18</f>
        <v>-</v>
      </c>
      <c r="D78" s="81">
        <f>'Calculation Sheet'!D18</f>
        <v>-7500</v>
      </c>
      <c r="E78" s="81">
        <f>'Calculation Sheet'!E18</f>
        <v>-8900</v>
      </c>
      <c r="F78" s="81">
        <f>'Calculation Sheet'!F18</f>
        <v>-9368</v>
      </c>
      <c r="G78" s="81">
        <f>'Calculation Sheet'!G18</f>
        <v>-8500</v>
      </c>
    </row>
    <row r="79" spans="1:7">
      <c r="A79" s="155" t="s">
        <v>63</v>
      </c>
      <c r="B79" s="155"/>
      <c r="C79" s="81" t="s">
        <v>52</v>
      </c>
      <c r="D79" s="81" t="s">
        <v>52</v>
      </c>
      <c r="E79" s="81" t="s">
        <v>52</v>
      </c>
      <c r="F79" s="81" t="s">
        <v>52</v>
      </c>
      <c r="G79" s="81" t="s">
        <v>52</v>
      </c>
    </row>
    <row r="80" spans="1:7">
      <c r="A80" s="156" t="s">
        <v>64</v>
      </c>
      <c r="B80" s="156"/>
      <c r="C80" s="17" t="str">
        <f>C78</f>
        <v>-</v>
      </c>
      <c r="D80" s="17">
        <f t="shared" ref="D80:F80" si="8">D78</f>
        <v>-7500</v>
      </c>
      <c r="E80" s="17">
        <f t="shared" si="8"/>
        <v>-8900</v>
      </c>
      <c r="F80" s="17">
        <f t="shared" si="8"/>
        <v>-9368</v>
      </c>
      <c r="G80" s="17">
        <f>G78</f>
        <v>-8500</v>
      </c>
    </row>
    <row r="81" spans="1:7">
      <c r="A81" s="19" t="s">
        <v>48</v>
      </c>
      <c r="B81" s="22"/>
      <c r="C81" s="81">
        <f>6557</f>
        <v>6557</v>
      </c>
      <c r="D81" s="81">
        <v>1357</v>
      </c>
      <c r="E81" s="81">
        <v>37</v>
      </c>
      <c r="F81" s="81">
        <v>-152</v>
      </c>
      <c r="G81" s="152">
        <v>250</v>
      </c>
    </row>
    <row r="82" spans="1:7">
      <c r="A82" s="19" t="s">
        <v>65</v>
      </c>
      <c r="B82" s="19"/>
      <c r="C82" s="81">
        <v>1000</v>
      </c>
      <c r="D82" s="81">
        <f>C83</f>
        <v>7557</v>
      </c>
      <c r="E82" s="81">
        <f t="shared" ref="E82:F82" si="9">D83</f>
        <v>8914</v>
      </c>
      <c r="F82" s="81">
        <f t="shared" si="9"/>
        <v>8951</v>
      </c>
      <c r="G82" s="81">
        <f>F83</f>
        <v>8799</v>
      </c>
    </row>
    <row r="83" spans="1:7">
      <c r="A83" s="19" t="s">
        <v>66</v>
      </c>
      <c r="B83" s="19"/>
      <c r="C83" s="81">
        <f>SUM(C81:C82)</f>
        <v>7557</v>
      </c>
      <c r="D83" s="81">
        <f t="shared" ref="D83:F83" si="10">SUM(D81:D82)</f>
        <v>8914</v>
      </c>
      <c r="E83" s="81">
        <f t="shared" si="10"/>
        <v>8951</v>
      </c>
      <c r="F83" s="81">
        <f t="shared" si="10"/>
        <v>8799</v>
      </c>
      <c r="G83" s="81">
        <f>SUM(G81:G82)</f>
        <v>9049</v>
      </c>
    </row>
    <row r="84" spans="1:7">
      <c r="A84" s="20"/>
      <c r="B84" s="20"/>
      <c r="C84" s="20"/>
      <c r="D84" s="20"/>
      <c r="E84" s="20"/>
      <c r="F84" s="20"/>
      <c r="G84" s="20"/>
    </row>
    <row r="85" spans="1:7">
      <c r="A85" s="76" t="s">
        <v>49</v>
      </c>
      <c r="B85" s="20"/>
      <c r="C85" s="20">
        <v>2327.12</v>
      </c>
      <c r="D85" s="20">
        <v>1960.7</v>
      </c>
      <c r="E85" s="20">
        <v>2450.44</v>
      </c>
      <c r="F85" s="20">
        <v>2167.14</v>
      </c>
      <c r="G85" s="20">
        <v>2161.88</v>
      </c>
    </row>
    <row r="86" spans="1:7">
      <c r="A86" s="20"/>
      <c r="B86" s="20"/>
      <c r="C86" s="20"/>
      <c r="D86" s="20"/>
      <c r="E86" s="20"/>
      <c r="F86" s="20"/>
      <c r="G86" s="20"/>
    </row>
    <row r="87" spans="1:7">
      <c r="A87" s="76" t="s">
        <v>50</v>
      </c>
      <c r="B87" s="20"/>
      <c r="C87" s="76"/>
      <c r="D87" s="76"/>
      <c r="E87" s="76"/>
      <c r="F87" s="76"/>
      <c r="G87" s="76"/>
    </row>
    <row r="88" spans="1:7">
      <c r="A88" s="77" t="s">
        <v>51</v>
      </c>
      <c r="B88" s="20"/>
      <c r="C88" s="77">
        <v>234.96</v>
      </c>
      <c r="D88" s="77">
        <v>234.96</v>
      </c>
      <c r="E88" s="77">
        <v>234.96</v>
      </c>
      <c r="F88" s="77">
        <v>234.96</v>
      </c>
      <c r="G88" s="77">
        <v>234.96</v>
      </c>
    </row>
    <row r="118" spans="8:8">
      <c r="H118" s="136"/>
    </row>
  </sheetData>
  <mergeCells count="2">
    <mergeCell ref="B1:F1"/>
    <mergeCell ref="B2:F2"/>
  </mergeCells>
  <conditionalFormatting sqref="B1">
    <cfRule type="cellIs" dxfId="0" priority="1" operator="notEqual">
      <formula>""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3BEA-AA6C-45FA-943B-E74EDE2FA0B0}">
  <sheetPr codeName="Sheet3">
    <tabColor theme="6" tint="0.79998168889431442"/>
  </sheetPr>
  <dimension ref="A1:W67"/>
  <sheetViews>
    <sheetView showGridLines="0" topLeftCell="A6" zoomScale="77" workbookViewId="0">
      <selection activeCell="N25" sqref="N25"/>
    </sheetView>
  </sheetViews>
  <sheetFormatPr defaultRowHeight="14.4"/>
  <cols>
    <col min="1" max="1" width="36.77734375" bestFit="1" customWidth="1"/>
    <col min="2" max="2" width="9.88671875" bestFit="1" customWidth="1"/>
    <col min="3" max="3" width="15" bestFit="1" customWidth="1"/>
    <col min="4" max="4" width="12.77734375" customWidth="1"/>
    <col min="5" max="5" width="14.44140625" customWidth="1"/>
    <col min="6" max="6" width="14" customWidth="1"/>
    <col min="7" max="7" width="12.6640625" customWidth="1"/>
    <col min="8" max="8" width="12.6640625" bestFit="1" customWidth="1"/>
    <col min="9" max="12" width="10.109375" bestFit="1" customWidth="1"/>
    <col min="14" max="14" width="17.5546875" bestFit="1" customWidth="1"/>
  </cols>
  <sheetData>
    <row r="1" spans="1:13" ht="2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</row>
    <row r="2" spans="1:13" ht="21">
      <c r="A2" s="4" t="s">
        <v>309</v>
      </c>
      <c r="B2" s="4"/>
      <c r="C2" s="5"/>
      <c r="D2" s="5"/>
      <c r="E2" s="3"/>
      <c r="F2" s="3"/>
      <c r="G2" s="3"/>
      <c r="H2" s="3"/>
      <c r="I2" s="3"/>
      <c r="J2" s="3"/>
    </row>
    <row r="3" spans="1:13" ht="21">
      <c r="A3" s="1" t="s">
        <v>1</v>
      </c>
      <c r="B3" s="1"/>
      <c r="C3" s="6"/>
      <c r="D3" s="6"/>
      <c r="E3" s="3"/>
      <c r="F3" s="3"/>
      <c r="G3" s="3"/>
      <c r="H3" s="3"/>
      <c r="I3" s="3"/>
      <c r="J3" s="3"/>
    </row>
    <row r="4" spans="1:13">
      <c r="M4" s="10"/>
    </row>
    <row r="5" spans="1:13" ht="15.6">
      <c r="C5" s="68" t="s">
        <v>2</v>
      </c>
      <c r="D5" s="68" t="s">
        <v>2</v>
      </c>
      <c r="E5" s="68" t="s">
        <v>2</v>
      </c>
      <c r="F5" s="68" t="s">
        <v>2</v>
      </c>
      <c r="G5" s="68" t="s">
        <v>2</v>
      </c>
      <c r="H5" s="68" t="s">
        <v>3</v>
      </c>
      <c r="I5" s="68" t="s">
        <v>3</v>
      </c>
      <c r="J5" s="68" t="s">
        <v>3</v>
      </c>
      <c r="K5" s="68" t="s">
        <v>3</v>
      </c>
      <c r="L5" s="68" t="s">
        <v>3</v>
      </c>
    </row>
    <row r="6" spans="1:13">
      <c r="A6" s="11" t="s">
        <v>4</v>
      </c>
      <c r="B6" s="11"/>
      <c r="C6" s="12">
        <v>2021</v>
      </c>
      <c r="D6" s="12">
        <v>2022</v>
      </c>
      <c r="E6" s="13">
        <v>2023</v>
      </c>
      <c r="F6" s="13">
        <v>2024</v>
      </c>
      <c r="G6" s="14">
        <v>2025</v>
      </c>
      <c r="H6" s="15">
        <v>2026</v>
      </c>
      <c r="I6" s="15">
        <v>2027</v>
      </c>
      <c r="J6" s="15">
        <v>2028</v>
      </c>
      <c r="K6" s="15">
        <v>2029</v>
      </c>
      <c r="L6" s="15">
        <v>2030</v>
      </c>
    </row>
    <row r="7" spans="1:13">
      <c r="A7" s="16"/>
      <c r="B7" s="16"/>
      <c r="C7" s="16"/>
      <c r="D7" s="16"/>
      <c r="E7" s="17"/>
      <c r="F7" s="17"/>
      <c r="G7" s="18"/>
      <c r="H7" s="19"/>
      <c r="I7" s="19"/>
      <c r="J7" s="19"/>
      <c r="K7" s="20"/>
      <c r="L7" s="20"/>
      <c r="M7" s="23"/>
    </row>
    <row r="8" spans="1:13">
      <c r="A8" s="21" t="s">
        <v>5</v>
      </c>
      <c r="B8" s="7"/>
      <c r="C8" s="80">
        <f>'Data Sheet'!C14</f>
        <v>47028</v>
      </c>
      <c r="D8" s="80">
        <f>'Data Sheet'!D14</f>
        <v>52446</v>
      </c>
      <c r="E8" s="80">
        <f>'Data Sheet'!E14</f>
        <v>60580</v>
      </c>
      <c r="F8" s="80">
        <f>'Data Sheet'!F14</f>
        <v>61896</v>
      </c>
      <c r="G8" s="95">
        <f>'Data Sheet'!G14</f>
        <v>61328</v>
      </c>
      <c r="H8" s="23">
        <f>G8+G8*H9</f>
        <v>65007.68</v>
      </c>
      <c r="I8" s="23">
        <f t="shared" ref="I8:L8" si="0">H8+H8*I9</f>
        <v>68908.140799999994</v>
      </c>
      <c r="J8" s="23">
        <f t="shared" si="0"/>
        <v>73042.629247999997</v>
      </c>
      <c r="K8" s="23">
        <f t="shared" si="0"/>
        <v>77425.187002880004</v>
      </c>
      <c r="L8" s="23">
        <f t="shared" si="0"/>
        <v>82070.698223052808</v>
      </c>
    </row>
    <row r="9" spans="1:13">
      <c r="A9" s="24" t="s">
        <v>6</v>
      </c>
      <c r="B9" s="24"/>
      <c r="C9" s="31" t="str">
        <f>'Assumption Sheet'!C6</f>
        <v>-</v>
      </c>
      <c r="D9" s="31">
        <f>'Assumption Sheet'!D6</f>
        <v>0.11520796121459556</v>
      </c>
      <c r="E9" s="31">
        <f>'Assumption Sheet'!E6</f>
        <v>0.15509285741524617</v>
      </c>
      <c r="F9" s="31">
        <f>'Assumption Sheet'!F6</f>
        <v>2.1723341036645756E-2</v>
      </c>
      <c r="G9" s="32">
        <f>'Assumption Sheet'!G6</f>
        <v>-9.1766834690448496E-3</v>
      </c>
      <c r="H9" s="26">
        <f>'Assumption Sheet'!H6</f>
        <v>0.06</v>
      </c>
      <c r="I9" s="26">
        <f>'Assumption Sheet'!I6</f>
        <v>0.06</v>
      </c>
      <c r="J9" s="26">
        <f>'Assumption Sheet'!J6</f>
        <v>0.06</v>
      </c>
      <c r="K9" s="26">
        <f>'Assumption Sheet'!K6</f>
        <v>0.06</v>
      </c>
      <c r="L9" s="26">
        <f>'Assumption Sheet'!L6</f>
        <v>0.06</v>
      </c>
    </row>
    <row r="10" spans="1:13">
      <c r="A10" s="19"/>
      <c r="B10" s="19"/>
      <c r="C10" s="81"/>
      <c r="D10" s="81"/>
      <c r="E10" s="82"/>
      <c r="F10" s="82"/>
      <c r="G10" s="83"/>
      <c r="H10" s="19"/>
      <c r="I10" s="19"/>
      <c r="J10" s="19"/>
      <c r="K10" s="20"/>
      <c r="L10" s="20"/>
    </row>
    <row r="11" spans="1:13">
      <c r="A11" s="7" t="s">
        <v>7</v>
      </c>
      <c r="B11" s="7"/>
      <c r="C11" s="80">
        <f>-'Data Sheet'!C15</f>
        <v>-23514</v>
      </c>
      <c r="D11" s="80">
        <f>-'Data Sheet'!D15</f>
        <v>-26223</v>
      </c>
      <c r="E11" s="80">
        <f>-'Data Sheet'!E15</f>
        <v>-30290</v>
      </c>
      <c r="F11" s="80">
        <f>-'Data Sheet'!F15</f>
        <v>-30948</v>
      </c>
      <c r="G11" s="95">
        <f>-'Data Sheet'!G15</f>
        <v>-30664</v>
      </c>
      <c r="H11" s="27">
        <f>-H8*H12</f>
        <v>-32503.84</v>
      </c>
      <c r="I11" s="27">
        <f t="shared" ref="I11:L11" si="1">-I8*I12</f>
        <v>-34454.070399999997</v>
      </c>
      <c r="J11" s="27">
        <f t="shared" si="1"/>
        <v>-36521.314623999999</v>
      </c>
      <c r="K11" s="27">
        <f t="shared" si="1"/>
        <v>-38712.593501440002</v>
      </c>
      <c r="L11" s="27">
        <f t="shared" si="1"/>
        <v>-41035.349111526404</v>
      </c>
    </row>
    <row r="12" spans="1:13">
      <c r="A12" s="102" t="s">
        <v>8</v>
      </c>
      <c r="B12" s="24"/>
      <c r="C12" s="25">
        <f>'Assumption Sheet'!C7</f>
        <v>0.5</v>
      </c>
      <c r="D12" s="25">
        <f>'Assumption Sheet'!D7</f>
        <v>0.5</v>
      </c>
      <c r="E12" s="25">
        <f>'Assumption Sheet'!E7</f>
        <v>0.5</v>
      </c>
      <c r="F12" s="25">
        <f>'Assumption Sheet'!F7</f>
        <v>0.5</v>
      </c>
      <c r="G12" s="174">
        <f>'Assumption Sheet'!G7</f>
        <v>0.5</v>
      </c>
      <c r="H12" s="28">
        <f>'Assumption Sheet'!H7</f>
        <v>0.5</v>
      </c>
      <c r="I12" s="28">
        <f>'Assumption Sheet'!I7</f>
        <v>0.5</v>
      </c>
      <c r="J12" s="28">
        <f>'Assumption Sheet'!J7</f>
        <v>0.5</v>
      </c>
      <c r="K12" s="28">
        <f>'Assumption Sheet'!K7</f>
        <v>0.5</v>
      </c>
      <c r="L12" s="28">
        <f>'Assumption Sheet'!L7</f>
        <v>0.5</v>
      </c>
    </row>
    <row r="13" spans="1:13">
      <c r="A13" s="19"/>
      <c r="B13" s="19"/>
      <c r="C13" s="81"/>
      <c r="D13" s="81"/>
      <c r="E13" s="82"/>
      <c r="F13" s="82"/>
      <c r="G13" s="83"/>
      <c r="H13" s="19"/>
      <c r="I13" s="19"/>
      <c r="J13" s="19"/>
      <c r="K13" s="20"/>
      <c r="L13" s="20"/>
      <c r="M13" s="96"/>
    </row>
    <row r="14" spans="1:13" ht="18" thickBot="1">
      <c r="A14" s="97" t="s">
        <v>9</v>
      </c>
      <c r="B14" s="58"/>
      <c r="C14" s="98">
        <f>'Data Sheet'!C16</f>
        <v>23514</v>
      </c>
      <c r="D14" s="98">
        <f>'Data Sheet'!D16</f>
        <v>26223</v>
      </c>
      <c r="E14" s="98">
        <f>'Data Sheet'!E16</f>
        <v>30290</v>
      </c>
      <c r="F14" s="98">
        <f>'Data Sheet'!F16</f>
        <v>30948</v>
      </c>
      <c r="G14" s="175">
        <f>'Data Sheet'!G16</f>
        <v>30664</v>
      </c>
      <c r="H14" s="99">
        <f>SUM(H8,H11)</f>
        <v>32503.84</v>
      </c>
      <c r="I14" s="99">
        <f t="shared" ref="I14:L14" si="2">SUM(I8,I11)</f>
        <v>34454.070399999997</v>
      </c>
      <c r="J14" s="99">
        <f t="shared" si="2"/>
        <v>36521.314623999999</v>
      </c>
      <c r="K14" s="99">
        <f t="shared" si="2"/>
        <v>38712.593501440002</v>
      </c>
      <c r="L14" s="99">
        <f t="shared" si="2"/>
        <v>41035.349111526404</v>
      </c>
    </row>
    <row r="15" spans="1:13" ht="15" thickTop="1">
      <c r="A15" s="102"/>
      <c r="B15" s="24"/>
      <c r="C15" s="31"/>
      <c r="D15" s="31"/>
      <c r="E15" s="31"/>
      <c r="F15" s="31"/>
      <c r="G15" s="32"/>
      <c r="H15" s="33"/>
      <c r="I15" s="33"/>
      <c r="J15" s="33"/>
      <c r="K15" s="33"/>
      <c r="L15" s="33"/>
    </row>
    <row r="16" spans="1:13">
      <c r="A16" s="19"/>
      <c r="B16" s="19"/>
      <c r="C16" s="81"/>
      <c r="D16" s="81"/>
      <c r="E16" s="82"/>
      <c r="F16" s="82"/>
      <c r="G16" s="83"/>
      <c r="H16" s="19"/>
      <c r="I16" s="19"/>
      <c r="J16" s="19"/>
      <c r="K16" s="20"/>
      <c r="L16" s="20"/>
    </row>
    <row r="17" spans="1:23">
      <c r="A17" s="7" t="s">
        <v>10</v>
      </c>
      <c r="B17" s="7"/>
      <c r="C17" s="80">
        <f>-'Data Sheet'!C17</f>
        <v>-11888</v>
      </c>
      <c r="D17" s="80">
        <f>-'Data Sheet'!D17</f>
        <v>-13366</v>
      </c>
      <c r="E17" s="80">
        <f>-'Data Sheet'!E17</f>
        <v>-16142</v>
      </c>
      <c r="F17" s="80">
        <f>-'Data Sheet'!F17</f>
        <v>-16285</v>
      </c>
      <c r="G17" s="95">
        <f>-'Data Sheet'!G17</f>
        <v>-17606</v>
      </c>
      <c r="H17" s="34">
        <f>-H8*H18</f>
        <v>-16901.996800000001</v>
      </c>
      <c r="I17" s="34">
        <f t="shared" ref="I17:L17" si="3">-I8*I18</f>
        <v>-17916.116608</v>
      </c>
      <c r="J17" s="34">
        <f t="shared" si="3"/>
        <v>-18991.083604480002</v>
      </c>
      <c r="K17" s="34">
        <f t="shared" si="3"/>
        <v>-20130.548620748803</v>
      </c>
      <c r="L17" s="34">
        <f t="shared" si="3"/>
        <v>-21338.38153799373</v>
      </c>
    </row>
    <row r="18" spans="1:23" ht="14.4" customHeight="1">
      <c r="A18" s="24" t="s">
        <v>53</v>
      </c>
      <c r="B18" s="24"/>
      <c r="C18" s="35">
        <f>'Assumption Sheet'!C9</f>
        <v>0.2527855745513311</v>
      </c>
      <c r="D18" s="35">
        <f>'Assumption Sheet'!D9</f>
        <v>0.25485261030393164</v>
      </c>
      <c r="E18" s="35">
        <f>'Assumption Sheet'!E9</f>
        <v>0.26645757675800597</v>
      </c>
      <c r="F18" s="35">
        <f>'Assumption Sheet'!F9</f>
        <v>0.26310262375597776</v>
      </c>
      <c r="G18" s="32">
        <f>'Assumption Sheet'!G9</f>
        <v>0.28707931124445601</v>
      </c>
      <c r="H18" s="28">
        <f>'Assumption Sheet'!H9</f>
        <v>0.26</v>
      </c>
      <c r="I18" s="28">
        <f>'Assumption Sheet'!I9</f>
        <v>0.26</v>
      </c>
      <c r="J18" s="28">
        <f>'Assumption Sheet'!J9</f>
        <v>0.26</v>
      </c>
      <c r="K18" s="28">
        <f>'Assumption Sheet'!K9</f>
        <v>0.26</v>
      </c>
      <c r="L18" s="28">
        <f>'Assumption Sheet'!L9</f>
        <v>0.26</v>
      </c>
      <c r="N18" s="433" t="s">
        <v>125</v>
      </c>
      <c r="O18" s="433"/>
      <c r="P18" s="433"/>
      <c r="Q18" s="433"/>
      <c r="R18" s="433"/>
      <c r="S18" s="433"/>
      <c r="T18" s="433"/>
      <c r="U18" s="433"/>
      <c r="V18" s="433"/>
      <c r="W18" s="433"/>
    </row>
    <row r="19" spans="1:23" ht="15" customHeight="1" thickBot="1">
      <c r="A19" s="36"/>
      <c r="B19" s="37"/>
      <c r="C19" s="85"/>
      <c r="D19" s="85"/>
      <c r="E19" s="86"/>
      <c r="F19" s="86"/>
      <c r="G19" s="87"/>
      <c r="H19" s="37"/>
      <c r="I19" s="37"/>
      <c r="J19" s="37"/>
      <c r="K19" s="38"/>
      <c r="L19" s="38"/>
      <c r="N19" s="433"/>
      <c r="O19" s="433"/>
      <c r="P19" s="433"/>
      <c r="Q19" s="433"/>
      <c r="R19" s="433"/>
      <c r="S19" s="433"/>
      <c r="T19" s="433"/>
      <c r="U19" s="433"/>
      <c r="V19" s="433"/>
      <c r="W19" s="433"/>
    </row>
    <row r="20" spans="1:23" ht="14.4" customHeight="1">
      <c r="A20" s="7" t="s">
        <v>11</v>
      </c>
      <c r="B20" s="7"/>
      <c r="C20" s="84">
        <f>'Data Sheet'!C18</f>
        <v>11626</v>
      </c>
      <c r="D20" s="84">
        <f>'Data Sheet'!D18</f>
        <v>12875</v>
      </c>
      <c r="E20" s="84">
        <f>'Data Sheet'!E18</f>
        <v>14148</v>
      </c>
      <c r="F20" s="84">
        <f>'Data Sheet'!F18</f>
        <v>14663</v>
      </c>
      <c r="G20" s="93">
        <f>'Data Sheet'!G18</f>
        <v>13058</v>
      </c>
      <c r="H20" s="29">
        <f>SUM(H14,H17)</f>
        <v>15601.843199999999</v>
      </c>
      <c r="I20" s="29">
        <f>SUM(I14,I17)</f>
        <v>16537.953791999997</v>
      </c>
      <c r="J20" s="29">
        <f>SUM(J14,J17)</f>
        <v>17530.231019519997</v>
      </c>
      <c r="K20" s="29">
        <f t="shared" ref="K20:L20" si="4">SUM(K14,K17)</f>
        <v>18582.044880691199</v>
      </c>
      <c r="L20" s="29">
        <f t="shared" si="4"/>
        <v>19696.967573532675</v>
      </c>
      <c r="N20" s="433"/>
      <c r="O20" s="433"/>
      <c r="P20" s="433"/>
      <c r="Q20" s="433"/>
      <c r="R20" s="433"/>
      <c r="S20" s="433"/>
      <c r="T20" s="433"/>
      <c r="U20" s="433"/>
      <c r="V20" s="433"/>
      <c r="W20" s="433"/>
    </row>
    <row r="21" spans="1:23">
      <c r="A21" s="39"/>
      <c r="B21" s="40"/>
      <c r="C21" s="88"/>
      <c r="D21" s="88"/>
      <c r="E21" s="89"/>
      <c r="F21" s="89"/>
      <c r="G21" s="90"/>
      <c r="H21" s="40"/>
      <c r="I21" s="40"/>
      <c r="J21" s="40"/>
      <c r="K21" s="41"/>
      <c r="L21" s="41"/>
    </row>
    <row r="22" spans="1:23">
      <c r="A22" s="7" t="s">
        <v>12</v>
      </c>
      <c r="C22" s="104">
        <f>-'Data Sheet'!C19</f>
        <v>-1074</v>
      </c>
      <c r="D22" s="104">
        <f>-'Data Sheet'!D19</f>
        <v>-1074</v>
      </c>
      <c r="E22" s="104">
        <f>-'Data Sheet'!E19</f>
        <v>-1074</v>
      </c>
      <c r="F22" s="104">
        <f>-'Data Sheet'!F19</f>
        <v>-1074</v>
      </c>
      <c r="G22" s="176">
        <f>-'Data Sheet'!G19</f>
        <v>-1074</v>
      </c>
      <c r="H22" s="27">
        <f>'Calculation Sheet'!H7</f>
        <v>-1358.375</v>
      </c>
      <c r="I22" s="27">
        <f>'Calculation Sheet'!I7</f>
        <v>-1373.1713850000001</v>
      </c>
      <c r="J22" s="27">
        <f>'Calculation Sheet'!J7</f>
        <v>-1390.5232059750001</v>
      </c>
      <c r="K22" s="27">
        <f>'Calculation Sheet'!K7</f>
        <v>-1410.542097761625</v>
      </c>
      <c r="L22" s="27">
        <f>'Calculation Sheet'!L7</f>
        <v>-1433.3474355697444</v>
      </c>
    </row>
    <row r="23" spans="1:23">
      <c r="A23" s="24" t="s">
        <v>173</v>
      </c>
      <c r="C23" s="100">
        <f>'Assumption Sheet'!C10</f>
        <v>2.1479999999999999E-2</v>
      </c>
      <c r="D23" s="100">
        <f>'Assumption Sheet'!D10</f>
        <v>2.1207938883813154E-2</v>
      </c>
      <c r="E23" s="100">
        <f>'Assumption Sheet'!E10</f>
        <v>2.2089250675111222E-2</v>
      </c>
      <c r="F23" s="100">
        <f>'Assumption Sheet'!F10</f>
        <v>2.3083640229317741E-2</v>
      </c>
      <c r="G23" s="101">
        <f>'Assumption Sheet'!G10</f>
        <v>2.5212116701399227E-2</v>
      </c>
      <c r="H23" s="208">
        <f>'Assumption Sheet'!H10</f>
        <v>2.5000000000000001E-2</v>
      </c>
      <c r="I23" s="208">
        <f>'Assumption Sheet'!I10</f>
        <v>2.5000000000000001E-2</v>
      </c>
      <c r="J23" s="208">
        <f>'Assumption Sheet'!J10</f>
        <v>2.5000000000000001E-2</v>
      </c>
      <c r="K23" s="208">
        <f>'Assumption Sheet'!K10</f>
        <v>2.5000000000000001E-2</v>
      </c>
      <c r="L23" s="208">
        <f>'Assumption Sheet'!L10</f>
        <v>2.5000000000000001E-2</v>
      </c>
    </row>
    <row r="24" spans="1:23">
      <c r="A24" s="19"/>
      <c r="C24" s="91"/>
      <c r="D24" s="91"/>
      <c r="E24" s="91"/>
      <c r="F24" s="91"/>
      <c r="G24" s="92"/>
      <c r="H24" s="44"/>
      <c r="I24" s="44"/>
      <c r="J24" s="44"/>
      <c r="K24" s="20"/>
      <c r="L24" s="20"/>
      <c r="M24" s="22"/>
    </row>
    <row r="25" spans="1:23">
      <c r="A25" s="7" t="s">
        <v>14</v>
      </c>
      <c r="B25" s="7"/>
      <c r="C25" s="80">
        <f>'Data Sheet'!C20</f>
        <v>171</v>
      </c>
      <c r="D25" s="80">
        <f>'Data Sheet'!D20</f>
        <v>214</v>
      </c>
      <c r="E25" s="80">
        <f>'Data Sheet'!E20</f>
        <v>447</v>
      </c>
      <c r="F25" s="80">
        <f>'Data Sheet'!F20</f>
        <v>813</v>
      </c>
      <c r="G25" s="95">
        <f>'Data Sheet'!G20</f>
        <v>1314</v>
      </c>
      <c r="H25" s="27">
        <f>H8*H26</f>
        <v>975.11519999999996</v>
      </c>
      <c r="I25" s="27">
        <f>I8*I26</f>
        <v>1033.6221119999998</v>
      </c>
      <c r="J25" s="27">
        <f>J8*J26</f>
        <v>1095.6394387199998</v>
      </c>
      <c r="K25" s="27">
        <f>K8*K26</f>
        <v>1161.3778050431999</v>
      </c>
      <c r="L25" s="27">
        <f>L8*L26</f>
        <v>1231.0604733457922</v>
      </c>
      <c r="N25" t="s">
        <v>28</v>
      </c>
    </row>
    <row r="26" spans="1:23">
      <c r="A26" s="24" t="s">
        <v>53</v>
      </c>
      <c r="B26" s="7"/>
      <c r="C26" s="103">
        <f>'Assumption Sheet'!C11</f>
        <v>3.6361316662413879E-3</v>
      </c>
      <c r="D26" s="103">
        <f>'Assumption Sheet'!D11</f>
        <v>4.080387446135072E-3</v>
      </c>
      <c r="E26" s="103">
        <f>'Assumption Sheet'!E11</f>
        <v>7.378672829316606E-3</v>
      </c>
      <c r="F26" s="103">
        <f>'Assumption Sheet'!F11</f>
        <v>1.3134936021713842E-2</v>
      </c>
      <c r="G26" s="107">
        <f>'Assumption Sheet'!G11</f>
        <v>2.1425776154448212E-2</v>
      </c>
      <c r="H26" s="103">
        <f>'Assumption Sheet'!H11</f>
        <v>1.4999999999999999E-2</v>
      </c>
      <c r="I26" s="103">
        <f>'Assumption Sheet'!I11</f>
        <v>1.4999999999999999E-2</v>
      </c>
      <c r="J26" s="103">
        <f>'Assumption Sheet'!J11</f>
        <v>1.4999999999999999E-2</v>
      </c>
      <c r="K26" s="103">
        <f>'Assumption Sheet'!K11</f>
        <v>1.4999999999999999E-2</v>
      </c>
      <c r="L26" s="103">
        <f>'Assumption Sheet'!L11</f>
        <v>1.4999999999999999E-2</v>
      </c>
      <c r="M26" s="105"/>
    </row>
    <row r="27" spans="1:23">
      <c r="G27" s="43"/>
    </row>
    <row r="28" spans="1:23" ht="15" thickBot="1">
      <c r="A28" s="58" t="s">
        <v>13</v>
      </c>
      <c r="B28" s="58"/>
      <c r="C28" s="98">
        <f>'Data Sheet'!C21</f>
        <v>10723</v>
      </c>
      <c r="D28" s="98">
        <f>'Data Sheet'!D21</f>
        <v>12015</v>
      </c>
      <c r="E28" s="98">
        <f>'Data Sheet'!E21</f>
        <v>13521</v>
      </c>
      <c r="F28" s="98">
        <f>'Data Sheet'!F21</f>
        <v>14402</v>
      </c>
      <c r="G28" s="175">
        <f>'Data Sheet'!G21</f>
        <v>13298</v>
      </c>
      <c r="H28" s="59">
        <f>SUM(H20,H22,H25)</f>
        <v>15218.5834</v>
      </c>
      <c r="I28" s="59">
        <f t="shared" ref="I28:K28" si="5">SUM(I20,I22,I25)</f>
        <v>16198.404518999996</v>
      </c>
      <c r="J28" s="59">
        <f t="shared" si="5"/>
        <v>17235.347252264997</v>
      </c>
      <c r="K28" s="59">
        <f t="shared" si="5"/>
        <v>18332.880587972773</v>
      </c>
      <c r="L28" s="59">
        <f>SUM(L20,L22,L25)</f>
        <v>19494.680611308722</v>
      </c>
      <c r="N28" s="266"/>
      <c r="O28" s="42"/>
    </row>
    <row r="29" spans="1:23" ht="15" thickTop="1">
      <c r="G29" s="43"/>
      <c r="H29" s="30"/>
      <c r="I29" s="30"/>
      <c r="J29" s="30"/>
      <c r="K29" s="20"/>
      <c r="L29" s="20"/>
    </row>
    <row r="30" spans="1:23">
      <c r="A30" s="7" t="s">
        <v>15</v>
      </c>
      <c r="B30" s="7"/>
      <c r="C30" s="45">
        <f>-'Data Sheet'!C22</f>
        <v>-117</v>
      </c>
      <c r="D30" s="45">
        <f>-'Data Sheet'!D22</f>
        <v>-106</v>
      </c>
      <c r="E30" s="45">
        <f>-'Data Sheet'!E22</f>
        <v>-114</v>
      </c>
      <c r="F30" s="45">
        <f>-'Data Sheet'!F22</f>
        <v>-334</v>
      </c>
      <c r="G30" s="46">
        <f>-'Data Sheet'!G22</f>
        <v>-395</v>
      </c>
      <c r="H30" s="27">
        <f>-H8*'Assumption Sheet'!H12</f>
        <v>-390.04608000000002</v>
      </c>
      <c r="I30" s="27">
        <f>-I8*'Assumption Sheet'!I12</f>
        <v>-413.44884479999996</v>
      </c>
      <c r="J30" s="27">
        <f>-J8*'Assumption Sheet'!J12</f>
        <v>-438.25577548799998</v>
      </c>
      <c r="K30" s="27">
        <f>-K8*'Assumption Sheet'!K12</f>
        <v>-464.55112201728002</v>
      </c>
      <c r="L30" s="27">
        <f>-L8*'Assumption Sheet'!L12</f>
        <v>-492.42418933831686</v>
      </c>
    </row>
    <row r="31" spans="1:23">
      <c r="A31" s="24" t="s">
        <v>53</v>
      </c>
      <c r="B31" s="7"/>
      <c r="C31" s="106">
        <f>'Assumption Sheet'!C12</f>
        <v>2.4878795611125285E-3</v>
      </c>
      <c r="D31" s="106">
        <f>'Assumption Sheet'!D12</f>
        <v>2.0211264920108303E-3</v>
      </c>
      <c r="E31" s="106">
        <f>'Assumption Sheet'!E12</f>
        <v>1.881809177946517E-3</v>
      </c>
      <c r="F31" s="106">
        <f>'Assumption Sheet'!F12</f>
        <v>5.3961483779242604E-3</v>
      </c>
      <c r="G31" s="108">
        <f>'Assumption Sheet'!G12</f>
        <v>6.4407774589094703E-3</v>
      </c>
      <c r="H31" s="106"/>
      <c r="I31" s="106"/>
      <c r="J31" s="106"/>
      <c r="K31" s="106"/>
      <c r="L31" s="106"/>
    </row>
    <row r="32" spans="1:23" ht="15" thickBot="1">
      <c r="A32" s="47"/>
      <c r="B32" s="47"/>
      <c r="C32" s="48"/>
      <c r="D32" s="48"/>
      <c r="E32" s="48"/>
      <c r="F32" s="48"/>
      <c r="G32" s="49"/>
      <c r="H32" s="37"/>
      <c r="I32" s="37"/>
      <c r="J32" s="37"/>
      <c r="K32" s="38"/>
      <c r="L32" s="38"/>
    </row>
    <row r="33" spans="1:12">
      <c r="A33" s="50" t="s">
        <v>16</v>
      </c>
      <c r="B33" s="50"/>
      <c r="C33" s="209">
        <f>'Data Sheet'!C23</f>
        <v>10606</v>
      </c>
      <c r="D33" s="209">
        <f>'Data Sheet'!D23</f>
        <v>11874</v>
      </c>
      <c r="E33" s="209">
        <f>'Data Sheet'!E23</f>
        <v>13344</v>
      </c>
      <c r="F33" s="209">
        <f>'Data Sheet'!F23</f>
        <v>13926</v>
      </c>
      <c r="G33" s="210">
        <f>'Data Sheet'!G23</f>
        <v>12622</v>
      </c>
      <c r="H33" s="211">
        <f>SUM(H28,H30)</f>
        <v>14828.537319999999</v>
      </c>
      <c r="I33" s="211">
        <f t="shared" ref="I33:L33" si="6">SUM(I28,I30)</f>
        <v>15784.955674199997</v>
      </c>
      <c r="J33" s="211">
        <f t="shared" si="6"/>
        <v>16797.091476776997</v>
      </c>
      <c r="K33" s="211">
        <f t="shared" si="6"/>
        <v>17868.329465955492</v>
      </c>
      <c r="L33" s="211">
        <f t="shared" si="6"/>
        <v>19002.256421970407</v>
      </c>
    </row>
    <row r="34" spans="1:12">
      <c r="A34" s="7"/>
      <c r="B34" s="7"/>
      <c r="D34" s="45"/>
      <c r="E34" s="45"/>
      <c r="F34" s="45"/>
      <c r="G34" s="46"/>
      <c r="H34" s="19"/>
      <c r="I34" s="19"/>
      <c r="J34" s="19"/>
      <c r="K34" s="20"/>
      <c r="L34" s="20"/>
    </row>
    <row r="35" spans="1:12">
      <c r="A35" s="7" t="s">
        <v>17</v>
      </c>
      <c r="B35" s="19"/>
      <c r="C35" s="45">
        <f>-'Data Sheet'!C24</f>
        <v>-2606</v>
      </c>
      <c r="D35" s="45">
        <f>-'Data Sheet'!D24</f>
        <v>-2987</v>
      </c>
      <c r="E35" s="45">
        <f>-'Data Sheet'!E24</f>
        <v>-3201</v>
      </c>
      <c r="F35" s="45">
        <f>-'Data Sheet'!F24</f>
        <v>-3644</v>
      </c>
      <c r="G35" s="46">
        <f>-'Data Sheet'!G24</f>
        <v>-3282</v>
      </c>
      <c r="H35" s="34">
        <f>-H33*H36</f>
        <v>-3707.1343299999999</v>
      </c>
      <c r="I35" s="34">
        <f t="shared" ref="I35:L35" si="7">-I33*I36</f>
        <v>-3946.2389185499992</v>
      </c>
      <c r="J35" s="34">
        <f t="shared" si="7"/>
        <v>-4199.2728691942493</v>
      </c>
      <c r="K35" s="34">
        <f t="shared" si="7"/>
        <v>-4467.082366488873</v>
      </c>
      <c r="L35" s="34">
        <f t="shared" si="7"/>
        <v>-4750.5641054926018</v>
      </c>
    </row>
    <row r="36" spans="1:12">
      <c r="A36" s="16" t="s">
        <v>18</v>
      </c>
      <c r="B36" s="16"/>
      <c r="C36" s="51">
        <f>'Assumption Sheet'!C13</f>
        <v>0.24570997548557422</v>
      </c>
      <c r="D36" s="51">
        <f>'Assumption Sheet'!D13</f>
        <v>0.25155802593902643</v>
      </c>
      <c r="E36" s="51">
        <f>'Assumption Sheet'!E13</f>
        <v>0.23988309352517986</v>
      </c>
      <c r="F36" s="51">
        <f>'Assumption Sheet'!F13</f>
        <v>0.26166882091052707</v>
      </c>
      <c r="G36" s="52">
        <f>'Assumption Sheet'!G13</f>
        <v>0.26002218348914591</v>
      </c>
      <c r="H36" s="53">
        <f>'Assumption Sheet'!H13</f>
        <v>0.25</v>
      </c>
      <c r="I36" s="53">
        <f>'Assumption Sheet'!I13</f>
        <v>0.25</v>
      </c>
      <c r="J36" s="53">
        <f>'Assumption Sheet'!J13</f>
        <v>0.25</v>
      </c>
      <c r="K36" s="53">
        <f>'Assumption Sheet'!K13</f>
        <v>0.25</v>
      </c>
      <c r="L36" s="53">
        <f>'Assumption Sheet'!L13</f>
        <v>0.25</v>
      </c>
    </row>
    <row r="37" spans="1:12">
      <c r="A37" s="54"/>
      <c r="B37" s="55"/>
      <c r="C37" s="54"/>
      <c r="D37" s="55"/>
      <c r="E37" s="56"/>
      <c r="F37" s="56"/>
      <c r="G37" s="57"/>
      <c r="H37" s="19"/>
      <c r="I37" s="19"/>
      <c r="J37" s="19"/>
      <c r="K37" s="20"/>
      <c r="L37" s="20"/>
    </row>
    <row r="38" spans="1:12" ht="15" thickBot="1">
      <c r="A38" s="58" t="s">
        <v>19</v>
      </c>
      <c r="B38" s="58"/>
      <c r="C38" s="59">
        <f>'Data Sheet'!C25</f>
        <v>8000</v>
      </c>
      <c r="D38" s="59">
        <f>'Data Sheet'!D25</f>
        <v>8887</v>
      </c>
      <c r="E38" s="59">
        <f>'Data Sheet'!E25</f>
        <v>10143</v>
      </c>
      <c r="F38" s="59">
        <f>'Data Sheet'!F25</f>
        <v>10282</v>
      </c>
      <c r="G38" s="60">
        <f>'Data Sheet'!G25</f>
        <v>9340</v>
      </c>
      <c r="H38" s="59">
        <f>SUM(H33,H35)</f>
        <v>11121.402989999999</v>
      </c>
      <c r="I38" s="59">
        <f t="shared" ref="I38:L38" si="8">SUM(I33,I35)</f>
        <v>11838.716755649997</v>
      </c>
      <c r="J38" s="59">
        <f t="shared" si="8"/>
        <v>12597.818607582747</v>
      </c>
      <c r="K38" s="59">
        <f t="shared" si="8"/>
        <v>13401.247099466618</v>
      </c>
      <c r="L38" s="59">
        <f t="shared" si="8"/>
        <v>14251.692316477805</v>
      </c>
    </row>
    <row r="39" spans="1:12" ht="15" thickTop="1"/>
    <row r="43" spans="1:12">
      <c r="J43" s="3"/>
    </row>
    <row r="58" spans="10:10">
      <c r="J58" s="61"/>
    </row>
    <row r="59" spans="10:10">
      <c r="J59" s="3"/>
    </row>
    <row r="60" spans="10:10">
      <c r="J60" s="3"/>
    </row>
    <row r="61" spans="10:10">
      <c r="J61" s="62"/>
    </row>
    <row r="62" spans="10:10">
      <c r="J62" s="62"/>
    </row>
    <row r="63" spans="10:10">
      <c r="J63" s="61"/>
    </row>
    <row r="64" spans="10:10">
      <c r="J64" s="3"/>
    </row>
    <row r="65" spans="10:10">
      <c r="J65" s="62"/>
    </row>
    <row r="66" spans="10:10">
      <c r="J66" s="63"/>
    </row>
    <row r="67" spans="10:10" ht="15" thickBot="1">
      <c r="J67" s="64"/>
    </row>
  </sheetData>
  <mergeCells count="1">
    <mergeCell ref="N18:W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9A17-3621-4C20-8F74-21BBA0D2609D}">
  <sheetPr codeName="Sheet4">
    <tabColor theme="6" tint="0.79998168889431442"/>
  </sheetPr>
  <dimension ref="A1:L33"/>
  <sheetViews>
    <sheetView showGridLines="0" topLeftCell="A15" zoomScale="82" zoomScaleNormal="85" workbookViewId="0">
      <selection activeCell="C22" activeCellId="1" sqref="N29 C22"/>
    </sheetView>
  </sheetViews>
  <sheetFormatPr defaultRowHeight="14.4"/>
  <cols>
    <col min="1" max="1" width="46.21875" bestFit="1" customWidth="1"/>
    <col min="3" max="12" width="10.88671875" bestFit="1" customWidth="1"/>
  </cols>
  <sheetData>
    <row r="1" spans="1:12" ht="15.6">
      <c r="C1" s="160" t="s">
        <v>2</v>
      </c>
      <c r="D1" s="160" t="s">
        <v>2</v>
      </c>
      <c r="E1" s="160" t="s">
        <v>2</v>
      </c>
      <c r="F1" s="160" t="s">
        <v>2</v>
      </c>
      <c r="G1" s="160" t="s">
        <v>2</v>
      </c>
      <c r="H1" s="160" t="s">
        <v>3</v>
      </c>
      <c r="I1" s="160" t="s">
        <v>3</v>
      </c>
      <c r="J1" s="160" t="s">
        <v>3</v>
      </c>
      <c r="K1" s="160" t="s">
        <v>3</v>
      </c>
      <c r="L1" s="160" t="s">
        <v>3</v>
      </c>
    </row>
    <row r="2" spans="1:12" ht="15.6">
      <c r="A2" s="109" t="s">
        <v>29</v>
      </c>
      <c r="B2" s="109"/>
      <c r="C2" s="70">
        <f>'HUL IS'!C6</f>
        <v>2021</v>
      </c>
      <c r="D2" s="70">
        <f>'HUL IS'!D6</f>
        <v>2022</v>
      </c>
      <c r="E2" s="70">
        <f>'HUL IS'!E6</f>
        <v>2023</v>
      </c>
      <c r="F2" s="178">
        <f>'HUL IS'!F6</f>
        <v>2024</v>
      </c>
      <c r="G2" s="70">
        <f>'HUL IS'!G6</f>
        <v>2025</v>
      </c>
      <c r="H2" s="71">
        <f>'HUL IS'!H6</f>
        <v>2026</v>
      </c>
      <c r="I2" s="71">
        <f>'HUL IS'!I6</f>
        <v>2027</v>
      </c>
      <c r="J2" s="71">
        <f>'HUL IS'!J6</f>
        <v>2028</v>
      </c>
      <c r="K2" s="71">
        <f>'HUL IS'!K6</f>
        <v>2029</v>
      </c>
      <c r="L2" s="71">
        <f>'HUL IS'!L6</f>
        <v>2030</v>
      </c>
    </row>
    <row r="3" spans="1:12">
      <c r="A3" s="3"/>
      <c r="B3" s="3"/>
      <c r="C3" s="3"/>
      <c r="D3" s="3"/>
      <c r="E3" s="3"/>
      <c r="F3" s="3"/>
      <c r="G3" s="133"/>
      <c r="H3" s="3"/>
      <c r="I3" s="3"/>
      <c r="J3" s="3"/>
      <c r="K3" s="3"/>
    </row>
    <row r="4" spans="1:12" ht="15.6">
      <c r="A4" s="300" t="s">
        <v>30</v>
      </c>
      <c r="B4" s="110"/>
      <c r="C4" s="110"/>
      <c r="D4" s="110"/>
      <c r="E4" s="134"/>
      <c r="F4" s="134"/>
      <c r="G4" s="133"/>
      <c r="H4" s="3"/>
      <c r="I4" s="3"/>
      <c r="J4" s="3"/>
      <c r="K4" s="3"/>
    </row>
    <row r="5" spans="1:12" ht="15.6">
      <c r="A5" s="301" t="s">
        <v>92</v>
      </c>
      <c r="B5" s="111"/>
      <c r="C5" s="275">
        <f>'Data Sheet'!C31</f>
        <v>7557</v>
      </c>
      <c r="D5" s="275">
        <f>'Data Sheet'!D31</f>
        <v>8914</v>
      </c>
      <c r="E5" s="275">
        <f>'Data Sheet'!E31</f>
        <v>8951</v>
      </c>
      <c r="F5" s="275">
        <f>'Data Sheet'!F31</f>
        <v>8799</v>
      </c>
      <c r="G5" s="276">
        <f>'Data Sheet'!G31</f>
        <v>9049</v>
      </c>
      <c r="H5" s="277">
        <f>'HUL CS'!H28</f>
        <v>9568.7088989999975</v>
      </c>
      <c r="I5" s="277">
        <f>'HUL CS'!I28</f>
        <v>10058.533175564999</v>
      </c>
      <c r="J5" s="277">
        <f>'HUL CS'!J28</f>
        <v>10517.586331258271</v>
      </c>
      <c r="K5" s="277">
        <f>'HUL CS'!K28</f>
        <v>10945.526113264159</v>
      </c>
      <c r="L5" s="277">
        <f>'HUL CS'!L28</f>
        <v>11341.952133237139</v>
      </c>
    </row>
    <row r="6" spans="1:12" ht="15.6">
      <c r="A6" s="301" t="s">
        <v>31</v>
      </c>
      <c r="B6" s="111"/>
      <c r="C6" s="275">
        <f>'Data Sheet'!C32</f>
        <v>2351</v>
      </c>
      <c r="D6" s="275">
        <f>'Data Sheet'!D32</f>
        <v>2622</v>
      </c>
      <c r="E6" s="275">
        <f>'Data Sheet'!E32</f>
        <v>3029</v>
      </c>
      <c r="F6" s="275">
        <f>'Data Sheet'!F32</f>
        <v>3095</v>
      </c>
      <c r="G6" s="276">
        <f>'Data Sheet'!G32</f>
        <v>3066</v>
      </c>
      <c r="H6" s="278">
        <f>('HUL IS'!H8/'Assumption Sheet'!H21)*'Assumption Sheet'!H14</f>
        <v>3250.384</v>
      </c>
      <c r="I6" s="278">
        <f>('HUL IS'!I8/'Assumption Sheet'!I21)*'Assumption Sheet'!I14</f>
        <v>3445.4070399999996</v>
      </c>
      <c r="J6" s="278">
        <f>('HUL IS'!J8/'Assumption Sheet'!J21)*'Assumption Sheet'!J14</f>
        <v>3652.1314623999997</v>
      </c>
      <c r="K6" s="278">
        <f>('HUL IS'!K8/'Assumption Sheet'!K21)*'Assumption Sheet'!K14</f>
        <v>3871.2593501440001</v>
      </c>
      <c r="L6" s="278">
        <f>('HUL IS'!L8/'Assumption Sheet'!L21)*'Assumption Sheet'!L14</f>
        <v>4103.5349111526402</v>
      </c>
    </row>
    <row r="7" spans="1:12" ht="15.6">
      <c r="A7" s="301" t="s">
        <v>32</v>
      </c>
      <c r="B7" s="111"/>
      <c r="C7" s="275">
        <f>'Data Sheet'!C33</f>
        <v>2351</v>
      </c>
      <c r="D7" s="275">
        <f>'Data Sheet'!D33</f>
        <v>2622</v>
      </c>
      <c r="E7" s="275">
        <f>'Data Sheet'!E33</f>
        <v>3029</v>
      </c>
      <c r="F7" s="275">
        <f>'Data Sheet'!F33</f>
        <v>3095</v>
      </c>
      <c r="G7" s="276">
        <f>'Data Sheet'!G33</f>
        <v>3066</v>
      </c>
      <c r="H7" s="278">
        <f>-('HUL IS'!H11/'Assumption Sheet'!H21)*'Assumption Sheet'!H15</f>
        <v>3249.96</v>
      </c>
      <c r="I7" s="278">
        <f>-('HUL IS'!I11/'Assumption Sheet'!I21)*'Assumption Sheet'!I15</f>
        <v>3444.9575999999993</v>
      </c>
      <c r="J7" s="278">
        <f>-('HUL IS'!J11/'Assumption Sheet'!J21)*'Assumption Sheet'!J15</f>
        <v>3651.6550559999996</v>
      </c>
      <c r="K7" s="278">
        <f>-('HUL IS'!K11/'Assumption Sheet'!K21)*'Assumption Sheet'!K15</f>
        <v>3870.7543593599999</v>
      </c>
      <c r="L7" s="278">
        <f>-('HUL IS'!L11/'Assumption Sheet'!L21)*'Assumption Sheet'!L15</f>
        <v>4102.9996209215997</v>
      </c>
    </row>
    <row r="8" spans="1:12" ht="15.6">
      <c r="A8" s="302" t="s">
        <v>93</v>
      </c>
      <c r="B8" s="179"/>
      <c r="C8" s="279">
        <f>'Data Sheet'!C34</f>
        <v>0</v>
      </c>
      <c r="D8" s="279">
        <f>'Data Sheet'!D34</f>
        <v>0</v>
      </c>
      <c r="E8" s="279">
        <f>'Data Sheet'!E34</f>
        <v>0</v>
      </c>
      <c r="F8" s="279">
        <f>'Data Sheet'!F34</f>
        <v>0</v>
      </c>
      <c r="G8" s="280">
        <f>'Data Sheet'!G34</f>
        <v>0</v>
      </c>
      <c r="H8" s="281">
        <v>0</v>
      </c>
      <c r="I8" s="281">
        <v>0</v>
      </c>
      <c r="J8" s="281">
        <v>0</v>
      </c>
      <c r="K8" s="281">
        <v>0</v>
      </c>
      <c r="L8" s="281">
        <v>0</v>
      </c>
    </row>
    <row r="9" spans="1:12" ht="15.6">
      <c r="A9" s="300" t="s">
        <v>33</v>
      </c>
      <c r="B9" s="110"/>
      <c r="C9" s="282">
        <f>'Data Sheet'!C35</f>
        <v>12259</v>
      </c>
      <c r="D9" s="282">
        <f>'Data Sheet'!D35</f>
        <v>14158</v>
      </c>
      <c r="E9" s="282">
        <f>'Data Sheet'!E35</f>
        <v>15009</v>
      </c>
      <c r="F9" s="282">
        <f>'Data Sheet'!F35</f>
        <v>14989</v>
      </c>
      <c r="G9" s="283">
        <f>'Data Sheet'!G35</f>
        <v>15181</v>
      </c>
      <c r="H9" s="284">
        <f>SUM(H5:H8)</f>
        <v>16069.052898999998</v>
      </c>
      <c r="I9" s="284">
        <f t="shared" ref="I9:L9" si="0">SUM(I5:I8)</f>
        <v>16948.897815564997</v>
      </c>
      <c r="J9" s="284">
        <f t="shared" si="0"/>
        <v>17821.37284965827</v>
      </c>
      <c r="K9" s="284">
        <f t="shared" si="0"/>
        <v>18687.539822768158</v>
      </c>
      <c r="L9" s="284">
        <f t="shared" si="0"/>
        <v>19548.486665311379</v>
      </c>
    </row>
    <row r="10" spans="1:12" ht="15.6">
      <c r="A10" s="303"/>
      <c r="B10" s="135"/>
      <c r="C10" s="285"/>
      <c r="D10" s="285"/>
      <c r="E10" s="286"/>
      <c r="F10" s="286"/>
      <c r="G10" s="287"/>
      <c r="H10" s="277"/>
      <c r="I10" s="277"/>
      <c r="J10" s="277"/>
      <c r="K10" s="277"/>
      <c r="L10" s="288"/>
    </row>
    <row r="11" spans="1:12" ht="15.6">
      <c r="A11" s="300" t="s">
        <v>94</v>
      </c>
      <c r="B11" s="110"/>
      <c r="C11" s="282"/>
      <c r="D11" s="282"/>
      <c r="E11" s="286"/>
      <c r="F11" s="286"/>
      <c r="G11" s="287"/>
      <c r="H11" s="277"/>
      <c r="I11" s="277"/>
      <c r="J11" s="277"/>
      <c r="K11" s="277"/>
      <c r="L11" s="288"/>
    </row>
    <row r="12" spans="1:12" ht="15.6">
      <c r="A12" s="301" t="s">
        <v>95</v>
      </c>
      <c r="B12" s="111"/>
      <c r="C12" s="275">
        <f>'Data Sheet'!C38</f>
        <v>51443</v>
      </c>
      <c r="D12" s="275">
        <f>'Data Sheet'!D38</f>
        <v>51473</v>
      </c>
      <c r="E12" s="275">
        <f>'Data Sheet'!E38</f>
        <v>52678</v>
      </c>
      <c r="F12" s="275">
        <f>'Data Sheet'!F38</f>
        <v>53744</v>
      </c>
      <c r="G12" s="276">
        <f>'Data Sheet'!G38</f>
        <v>54335</v>
      </c>
      <c r="H12" s="277">
        <f>'Calculation Sheet'!H8</f>
        <v>54926.8554</v>
      </c>
      <c r="I12" s="277">
        <f>'Calculation Sheet'!I8</f>
        <v>55620.928239000001</v>
      </c>
      <c r="J12" s="277">
        <f>'Calculation Sheet'!J8</f>
        <v>56421.683910464999</v>
      </c>
      <c r="K12" s="277">
        <f>'Calculation Sheet'!K8</f>
        <v>57333.897422789778</v>
      </c>
      <c r="L12" s="277">
        <f>'Calculation Sheet'!L8</f>
        <v>58362.670933911613</v>
      </c>
    </row>
    <row r="13" spans="1:12" ht="15.6">
      <c r="A13" s="304"/>
      <c r="B13" s="180"/>
      <c r="C13" s="281"/>
      <c r="D13" s="281"/>
      <c r="E13" s="289"/>
      <c r="F13" s="289"/>
      <c r="G13" s="290"/>
      <c r="H13" s="281"/>
      <c r="I13" s="281"/>
      <c r="J13" s="281"/>
      <c r="K13" s="281"/>
      <c r="L13" s="291"/>
    </row>
    <row r="14" spans="1:12" ht="15.6">
      <c r="A14" s="305" t="s">
        <v>34</v>
      </c>
      <c r="B14" s="6"/>
      <c r="C14" s="292">
        <f>'Data Sheet'!C40</f>
        <v>63702</v>
      </c>
      <c r="D14" s="292">
        <f>'Data Sheet'!D40</f>
        <v>65631</v>
      </c>
      <c r="E14" s="292">
        <f>'Data Sheet'!E40</f>
        <v>67687</v>
      </c>
      <c r="F14" s="292">
        <f>'Data Sheet'!F40</f>
        <v>68733</v>
      </c>
      <c r="G14" s="293">
        <f>'Data Sheet'!G40</f>
        <v>69516</v>
      </c>
      <c r="H14" s="284">
        <f>SUM(H9:H12)</f>
        <v>70995.908299000002</v>
      </c>
      <c r="I14" s="284">
        <f t="shared" ref="I14:L14" si="1">SUM(I9:I12)</f>
        <v>72569.826054564997</v>
      </c>
      <c r="J14" s="284">
        <f t="shared" si="1"/>
        <v>74243.056760123261</v>
      </c>
      <c r="K14" s="284">
        <f t="shared" si="1"/>
        <v>76021.437245557929</v>
      </c>
      <c r="L14" s="284">
        <f t="shared" si="1"/>
        <v>77911.157599222992</v>
      </c>
    </row>
    <row r="15" spans="1:12" ht="15.6">
      <c r="A15" s="306"/>
      <c r="B15" s="3"/>
      <c r="C15" s="277"/>
      <c r="D15" s="277"/>
      <c r="E15" s="286"/>
      <c r="F15" s="286"/>
      <c r="G15" s="287"/>
      <c r="H15" s="277"/>
      <c r="I15" s="277"/>
      <c r="J15" s="277"/>
      <c r="K15" s="277"/>
      <c r="L15" s="288"/>
    </row>
    <row r="16" spans="1:12" ht="15.6">
      <c r="A16" s="300" t="s">
        <v>96</v>
      </c>
      <c r="B16" s="110"/>
      <c r="C16" s="282"/>
      <c r="D16" s="282"/>
      <c r="E16" s="286"/>
      <c r="F16" s="286"/>
      <c r="G16" s="287"/>
      <c r="H16" s="277"/>
      <c r="I16" s="277"/>
      <c r="J16" s="277"/>
      <c r="K16" s="277"/>
      <c r="L16" s="288"/>
    </row>
    <row r="17" spans="1:12" ht="15.6">
      <c r="A17" s="301" t="s">
        <v>57</v>
      </c>
      <c r="B17" s="111"/>
      <c r="C17" s="275">
        <f>'Data Sheet'!C43</f>
        <v>4703</v>
      </c>
      <c r="D17" s="275">
        <f>'Data Sheet'!D43</f>
        <v>5245</v>
      </c>
      <c r="E17" s="275">
        <f>'Data Sheet'!E43</f>
        <v>6058</v>
      </c>
      <c r="F17" s="275">
        <f>'Data Sheet'!F43</f>
        <v>6190</v>
      </c>
      <c r="G17" s="276">
        <f>'Data Sheet'!G43</f>
        <v>6133</v>
      </c>
      <c r="H17" s="278">
        <f>-('HUL IS'!H11/'Assumption Sheet'!H21)*'Assumption Sheet'!H16</f>
        <v>6500.768</v>
      </c>
      <c r="I17" s="278">
        <f>-('HUL IS'!I11/'Assumption Sheet'!I21)*'Assumption Sheet'!I16</f>
        <v>6890.8140799999992</v>
      </c>
      <c r="J17" s="278">
        <f>-('HUL IS'!J11/'Assumption Sheet'!J21)*'Assumption Sheet'!J16</f>
        <v>7304.2629247999994</v>
      </c>
      <c r="K17" s="278">
        <f>-('HUL IS'!K11/'Assumption Sheet'!K21)*'Assumption Sheet'!K16</f>
        <v>7742.5187002880002</v>
      </c>
      <c r="L17" s="278">
        <f>-('HUL IS'!L11/'Assumption Sheet'!L21)*'Assumption Sheet'!L16</f>
        <v>8207.0698223052805</v>
      </c>
    </row>
    <row r="18" spans="1:12" ht="15.6">
      <c r="A18" s="301" t="s">
        <v>97</v>
      </c>
      <c r="B18" s="111"/>
      <c r="C18" s="275" t="str">
        <f>'Data Sheet'!C44</f>
        <v>-</v>
      </c>
      <c r="D18" s="275" t="str">
        <f>'Data Sheet'!D44</f>
        <v>-</v>
      </c>
      <c r="E18" s="275" t="str">
        <f>'Data Sheet'!E44</f>
        <v>-</v>
      </c>
      <c r="F18" s="275" t="str">
        <f>'Data Sheet'!F44</f>
        <v>-</v>
      </c>
      <c r="G18" s="276" t="str">
        <f>'Data Sheet'!G44</f>
        <v>-</v>
      </c>
      <c r="H18" s="277" t="s">
        <v>52</v>
      </c>
      <c r="I18" s="277" t="s">
        <v>52</v>
      </c>
      <c r="J18" s="277" t="s">
        <v>52</v>
      </c>
      <c r="K18" s="277" t="s">
        <v>52</v>
      </c>
      <c r="L18" s="277" t="s">
        <v>52</v>
      </c>
    </row>
    <row r="19" spans="1:12" ht="15.6">
      <c r="A19" s="302" t="s">
        <v>98</v>
      </c>
      <c r="B19" s="179"/>
      <c r="C19" s="279" t="str">
        <f>'Data Sheet'!C45</f>
        <v>-</v>
      </c>
      <c r="D19" s="279" t="str">
        <f>'Data Sheet'!D45</f>
        <v>-</v>
      </c>
      <c r="E19" s="279" t="str">
        <f>'Data Sheet'!E45</f>
        <v>-</v>
      </c>
      <c r="F19" s="279" t="str">
        <f>'Data Sheet'!F45</f>
        <v>-</v>
      </c>
      <c r="G19" s="280" t="str">
        <f>'Data Sheet'!G45</f>
        <v>-</v>
      </c>
      <c r="H19" s="294" t="s">
        <v>52</v>
      </c>
      <c r="I19" s="281" t="s">
        <v>52</v>
      </c>
      <c r="J19" s="281" t="s">
        <v>52</v>
      </c>
      <c r="K19" s="281" t="s">
        <v>52</v>
      </c>
      <c r="L19" s="281" t="s">
        <v>52</v>
      </c>
    </row>
    <row r="20" spans="1:12" ht="15.6">
      <c r="A20" s="300" t="s">
        <v>99</v>
      </c>
      <c r="B20" s="110"/>
      <c r="C20" s="282">
        <f>'Data Sheet'!C46</f>
        <v>4703</v>
      </c>
      <c r="D20" s="282">
        <f>'Data Sheet'!D46</f>
        <v>5245</v>
      </c>
      <c r="E20" s="282">
        <f>'Data Sheet'!E46</f>
        <v>6058</v>
      </c>
      <c r="F20" s="282">
        <f>'Data Sheet'!F46</f>
        <v>6190</v>
      </c>
      <c r="G20" s="283">
        <f>'Data Sheet'!G46</f>
        <v>6133</v>
      </c>
      <c r="H20" s="284">
        <f>SUM(H17:H19)</f>
        <v>6500.768</v>
      </c>
      <c r="I20" s="284">
        <f t="shared" ref="I20:L20" si="2">SUM(I17:I19)</f>
        <v>6890.8140799999992</v>
      </c>
      <c r="J20" s="284">
        <f t="shared" si="2"/>
        <v>7304.2629247999994</v>
      </c>
      <c r="K20" s="284">
        <f t="shared" si="2"/>
        <v>7742.5187002880002</v>
      </c>
      <c r="L20" s="284">
        <f t="shared" si="2"/>
        <v>8207.0698223052805</v>
      </c>
    </row>
    <row r="21" spans="1:12" ht="15.6">
      <c r="A21" s="303"/>
      <c r="B21" s="135"/>
      <c r="C21" s="285"/>
      <c r="D21" s="285"/>
      <c r="E21" s="286"/>
      <c r="F21" s="286"/>
      <c r="G21" s="287"/>
      <c r="H21" s="277"/>
      <c r="I21" s="277"/>
      <c r="J21" s="277"/>
      <c r="K21" s="277"/>
      <c r="L21" s="288"/>
    </row>
    <row r="22" spans="1:12" ht="15.6">
      <c r="A22" s="300" t="s">
        <v>100</v>
      </c>
      <c r="B22" s="110"/>
      <c r="C22" s="282"/>
      <c r="D22" s="282"/>
      <c r="E22" s="286"/>
      <c r="F22" s="286"/>
      <c r="G22" s="287"/>
      <c r="H22" s="277"/>
      <c r="I22" s="277"/>
      <c r="J22" s="277"/>
      <c r="K22" s="277"/>
      <c r="L22" s="288"/>
    </row>
    <row r="23" spans="1:12" ht="15.6">
      <c r="A23" s="301" t="s">
        <v>101</v>
      </c>
      <c r="B23" s="111"/>
      <c r="C23" s="275">
        <f>'Data Sheet'!C49</f>
        <v>11325</v>
      </c>
      <c r="D23" s="275">
        <f>'Data Sheet'!D49</f>
        <v>11325</v>
      </c>
      <c r="E23" s="275">
        <f>'Data Sheet'!E49</f>
        <v>11325</v>
      </c>
      <c r="F23" s="275">
        <f>'Data Sheet'!F49</f>
        <v>11325</v>
      </c>
      <c r="G23" s="276">
        <f>'Data Sheet'!G49</f>
        <v>11325</v>
      </c>
      <c r="H23" s="277">
        <v>11325</v>
      </c>
      <c r="I23" s="277">
        <v>11325</v>
      </c>
      <c r="J23" s="277">
        <v>11325</v>
      </c>
      <c r="K23" s="277">
        <v>11325</v>
      </c>
      <c r="L23" s="277">
        <v>11325</v>
      </c>
    </row>
    <row r="24" spans="1:12" ht="15.6">
      <c r="A24" s="307"/>
      <c r="B24" s="181"/>
      <c r="C24" s="295"/>
      <c r="D24" s="295"/>
      <c r="E24" s="289"/>
      <c r="F24" s="289"/>
      <c r="G24" s="290"/>
      <c r="H24" s="294"/>
      <c r="I24" s="281"/>
      <c r="J24" s="281"/>
      <c r="K24" s="281"/>
      <c r="L24" s="291"/>
    </row>
    <row r="25" spans="1:12" ht="15.6">
      <c r="A25" s="305" t="s">
        <v>35</v>
      </c>
      <c r="B25" s="6"/>
      <c r="C25" s="292">
        <f>'Data Sheet'!C51</f>
        <v>16028</v>
      </c>
      <c r="D25" s="292">
        <f>'Data Sheet'!D51</f>
        <v>16570</v>
      </c>
      <c r="E25" s="292">
        <f>'Data Sheet'!E51</f>
        <v>17383</v>
      </c>
      <c r="F25" s="292">
        <f>'Data Sheet'!F51</f>
        <v>17515</v>
      </c>
      <c r="G25" s="296">
        <f>'Data Sheet'!G51</f>
        <v>17458</v>
      </c>
      <c r="H25" s="292">
        <f>SUM(H20:H23)</f>
        <v>17825.768</v>
      </c>
      <c r="I25" s="292">
        <f t="shared" ref="I25:L25" si="3">SUM(I20:I23)</f>
        <v>18215.81408</v>
      </c>
      <c r="J25" s="292">
        <f t="shared" si="3"/>
        <v>18629.262924800001</v>
      </c>
      <c r="K25" s="292">
        <f t="shared" si="3"/>
        <v>19067.518700288001</v>
      </c>
      <c r="L25" s="292">
        <f t="shared" si="3"/>
        <v>19532.069822305282</v>
      </c>
    </row>
    <row r="26" spans="1:12" ht="15.6">
      <c r="A26" s="308"/>
      <c r="B26" s="3"/>
      <c r="C26" s="277"/>
      <c r="D26" s="277"/>
      <c r="E26" s="286"/>
      <c r="F26" s="286"/>
      <c r="G26" s="287"/>
      <c r="H26" s="277"/>
      <c r="I26" s="277"/>
      <c r="J26" s="277"/>
      <c r="K26" s="277"/>
      <c r="L26" s="288"/>
    </row>
    <row r="27" spans="1:12" ht="15.6">
      <c r="A27" s="303" t="s">
        <v>36</v>
      </c>
      <c r="B27" s="135"/>
      <c r="C27" s="285">
        <f>'Data Sheet'!C53</f>
        <v>235</v>
      </c>
      <c r="D27" s="285">
        <f>'Data Sheet'!D53</f>
        <v>235</v>
      </c>
      <c r="E27" s="285">
        <f>'Data Sheet'!E53</f>
        <v>235</v>
      </c>
      <c r="F27" s="285">
        <f>'Data Sheet'!F53</f>
        <v>235</v>
      </c>
      <c r="G27" s="297">
        <f>'Data Sheet'!G53</f>
        <v>235</v>
      </c>
      <c r="H27" s="277">
        <v>235</v>
      </c>
      <c r="I27" s="277">
        <v>235</v>
      </c>
      <c r="J27" s="277">
        <v>235</v>
      </c>
      <c r="K27" s="277">
        <v>235</v>
      </c>
      <c r="L27" s="277">
        <v>235</v>
      </c>
    </row>
    <row r="28" spans="1:12" ht="15.6">
      <c r="A28" s="303" t="s">
        <v>37</v>
      </c>
      <c r="B28" s="135"/>
      <c r="C28" s="285" t="str">
        <f>'Data Sheet'!C54</f>
        <v>-</v>
      </c>
      <c r="D28" s="285" t="str">
        <f>'Data Sheet'!D54</f>
        <v>-</v>
      </c>
      <c r="E28" s="285" t="str">
        <f>'Data Sheet'!E54</f>
        <v>-</v>
      </c>
      <c r="F28" s="285" t="str">
        <f>'Data Sheet'!F54</f>
        <v>-</v>
      </c>
      <c r="G28" s="297" t="str">
        <f>'Data Sheet'!G54</f>
        <v>-</v>
      </c>
      <c r="H28" s="277" t="s">
        <v>52</v>
      </c>
      <c r="I28" s="277" t="s">
        <v>52</v>
      </c>
      <c r="J28" s="277" t="s">
        <v>52</v>
      </c>
      <c r="K28" s="277" t="s">
        <v>52</v>
      </c>
      <c r="L28" s="277" t="s">
        <v>52</v>
      </c>
    </row>
    <row r="29" spans="1:12" ht="15.6">
      <c r="A29" s="307" t="s">
        <v>38</v>
      </c>
      <c r="B29" s="181"/>
      <c r="C29" s="295">
        <f>'Data Sheet'!C55</f>
        <v>47439</v>
      </c>
      <c r="D29" s="295">
        <f>'Data Sheet'!D55</f>
        <v>48826</v>
      </c>
      <c r="E29" s="295">
        <f>'Data Sheet'!E55</f>
        <v>50069</v>
      </c>
      <c r="F29" s="295">
        <f>'Data Sheet'!F55</f>
        <v>50983</v>
      </c>
      <c r="G29" s="298">
        <f>'Data Sheet'!G55</f>
        <v>51823</v>
      </c>
      <c r="H29" s="281">
        <f>'Calculation Sheet'!H19</f>
        <v>52935.140299000006</v>
      </c>
      <c r="I29" s="281">
        <f>'Calculation Sheet'!I19</f>
        <v>54119.011974565008</v>
      </c>
      <c r="J29" s="281">
        <f>'Calculation Sheet'!J19</f>
        <v>55378.793835323282</v>
      </c>
      <c r="K29" s="281">
        <f>'Calculation Sheet'!K19</f>
        <v>56718.918545269938</v>
      </c>
      <c r="L29" s="281">
        <f>'Calculation Sheet'!L19</f>
        <v>58144.087776917717</v>
      </c>
    </row>
    <row r="30" spans="1:12" ht="15.6">
      <c r="A30" s="305" t="s">
        <v>39</v>
      </c>
      <c r="B30" s="6"/>
      <c r="C30" s="292">
        <f>'Data Sheet'!C56</f>
        <v>47674</v>
      </c>
      <c r="D30" s="292">
        <f>'Data Sheet'!D56</f>
        <v>49061</v>
      </c>
      <c r="E30" s="292">
        <f>'Data Sheet'!E56</f>
        <v>50304</v>
      </c>
      <c r="F30" s="292">
        <f>'Data Sheet'!F56</f>
        <v>51218</v>
      </c>
      <c r="G30" s="293">
        <f>'Data Sheet'!G56</f>
        <v>52058</v>
      </c>
      <c r="H30" s="284">
        <f>SUM(H27:H29)</f>
        <v>53170.140299000006</v>
      </c>
      <c r="I30" s="284">
        <f t="shared" ref="I30:L30" si="4">SUM(I27:I29)</f>
        <v>54354.011974565008</v>
      </c>
      <c r="J30" s="284">
        <f t="shared" si="4"/>
        <v>55613.793835323282</v>
      </c>
      <c r="K30" s="284">
        <f t="shared" si="4"/>
        <v>56953.918545269938</v>
      </c>
      <c r="L30" s="284">
        <f t="shared" si="4"/>
        <v>58379.087776917717</v>
      </c>
    </row>
    <row r="31" spans="1:12" ht="15.6">
      <c r="A31" s="308"/>
      <c r="B31" s="3"/>
      <c r="C31" s="277"/>
      <c r="D31" s="277"/>
      <c r="E31" s="286"/>
      <c r="F31" s="286"/>
      <c r="G31" s="287"/>
      <c r="H31" s="277"/>
      <c r="I31" s="277"/>
      <c r="J31" s="277"/>
      <c r="K31" s="277"/>
      <c r="L31" s="288"/>
    </row>
    <row r="32" spans="1:12" ht="15.6">
      <c r="A32" s="305" t="s">
        <v>40</v>
      </c>
      <c r="B32" s="6"/>
      <c r="C32" s="292">
        <f>C25+C30</f>
        <v>63702</v>
      </c>
      <c r="D32" s="292">
        <f t="shared" ref="D32:G32" si="5">D25+D30</f>
        <v>65631</v>
      </c>
      <c r="E32" s="292">
        <f t="shared" si="5"/>
        <v>67687</v>
      </c>
      <c r="F32" s="292">
        <f t="shared" si="5"/>
        <v>68733</v>
      </c>
      <c r="G32" s="293">
        <f t="shared" si="5"/>
        <v>69516</v>
      </c>
      <c r="H32" s="284">
        <f>SUM(H25,H30)</f>
        <v>70995.908299000002</v>
      </c>
      <c r="I32" s="284">
        <f t="shared" ref="I32:L32" si="6">SUM(I25,I30)</f>
        <v>72569.826054565012</v>
      </c>
      <c r="J32" s="284">
        <f t="shared" si="6"/>
        <v>74243.056760123291</v>
      </c>
      <c r="K32" s="284">
        <f t="shared" si="6"/>
        <v>76021.437245557943</v>
      </c>
      <c r="L32" s="284">
        <f t="shared" si="6"/>
        <v>77911.157599222992</v>
      </c>
    </row>
    <row r="33" spans="1:12" ht="15.6">
      <c r="A33" s="309" t="s">
        <v>41</v>
      </c>
      <c r="B33" s="177"/>
      <c r="C33" s="299" t="str">
        <f>IF(C32=C14,"OK")</f>
        <v>OK</v>
      </c>
      <c r="D33" s="299" t="str">
        <f t="shared" ref="D33:K33" si="7">IF(D32=D14,"OK")</f>
        <v>OK</v>
      </c>
      <c r="E33" s="299" t="str">
        <f t="shared" si="7"/>
        <v>OK</v>
      </c>
      <c r="F33" s="299" t="str">
        <f t="shared" si="7"/>
        <v>OK</v>
      </c>
      <c r="G33" s="299" t="str">
        <f t="shared" si="7"/>
        <v>OK</v>
      </c>
      <c r="H33" s="299" t="str">
        <f t="shared" si="7"/>
        <v>OK</v>
      </c>
      <c r="I33" s="299" t="str">
        <f t="shared" si="7"/>
        <v>OK</v>
      </c>
      <c r="J33" s="299" t="str">
        <f t="shared" si="7"/>
        <v>OK</v>
      </c>
      <c r="K33" s="299" t="str">
        <f t="shared" si="7"/>
        <v>OK</v>
      </c>
      <c r="L33" s="299" t="str">
        <f>IF(L32=L14,"OK")</f>
        <v>OK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32AF-B52F-4720-B49F-B43486BB421E}">
  <sheetPr codeName="Sheet5">
    <tabColor theme="6" tint="0.79998168889431442"/>
  </sheetPr>
  <dimension ref="A1:M28"/>
  <sheetViews>
    <sheetView showGridLines="0" zoomScale="97" workbookViewId="0">
      <selection activeCell="F12" sqref="F12"/>
    </sheetView>
  </sheetViews>
  <sheetFormatPr defaultRowHeight="14.4"/>
  <cols>
    <col min="1" max="1" width="46.6640625" bestFit="1" customWidth="1"/>
    <col min="2" max="2" width="10.6640625" customWidth="1"/>
    <col min="3" max="3" width="12.77734375" customWidth="1"/>
    <col min="4" max="4" width="11.88671875" customWidth="1"/>
    <col min="5" max="5" width="12.109375" customWidth="1"/>
    <col min="6" max="6" width="12.33203125" customWidth="1"/>
    <col min="7" max="7" width="12.5546875" customWidth="1"/>
    <col min="8" max="8" width="12.21875" customWidth="1"/>
    <col min="9" max="9" width="13.109375" customWidth="1"/>
    <col min="10" max="10" width="9.33203125" customWidth="1"/>
    <col min="11" max="11" width="12.77734375" customWidth="1"/>
    <col min="12" max="12" width="12.6640625" customWidth="1"/>
  </cols>
  <sheetData>
    <row r="1" spans="1:12" ht="15.6">
      <c r="C1" s="420" t="s">
        <v>2</v>
      </c>
      <c r="D1" s="420" t="s">
        <v>2</v>
      </c>
      <c r="E1" s="420" t="s">
        <v>2</v>
      </c>
      <c r="F1" s="420" t="s">
        <v>2</v>
      </c>
      <c r="G1" s="420" t="s">
        <v>2</v>
      </c>
      <c r="H1" s="420" t="s">
        <v>3</v>
      </c>
      <c r="I1" s="420" t="s">
        <v>3</v>
      </c>
      <c r="J1" s="420" t="s">
        <v>3</v>
      </c>
      <c r="K1" s="420" t="s">
        <v>3</v>
      </c>
      <c r="L1" s="420" t="s">
        <v>3</v>
      </c>
    </row>
    <row r="2" spans="1:12" ht="15.6">
      <c r="A2" s="69" t="s">
        <v>42</v>
      </c>
      <c r="B2" s="69"/>
      <c r="C2" s="70">
        <f>'HUL IS'!C6</f>
        <v>2021</v>
      </c>
      <c r="D2" s="70">
        <f>'HUL IS'!D6</f>
        <v>2022</v>
      </c>
      <c r="E2" s="70">
        <f>'HUL IS'!E6</f>
        <v>2023</v>
      </c>
      <c r="F2" s="70">
        <f>'HUL IS'!F6</f>
        <v>2024</v>
      </c>
      <c r="G2" s="70">
        <f>'HUL IS'!G6</f>
        <v>2025</v>
      </c>
      <c r="H2" s="71">
        <f>'HUL IS'!H6</f>
        <v>2026</v>
      </c>
      <c r="I2" s="71">
        <f>'HUL IS'!I6</f>
        <v>2027</v>
      </c>
      <c r="J2" s="71">
        <f>'HUL IS'!J6</f>
        <v>2028</v>
      </c>
      <c r="K2" s="71">
        <f>'HUL IS'!K6</f>
        <v>2029</v>
      </c>
      <c r="L2" s="71">
        <f>'HUL IS'!L6</f>
        <v>2030</v>
      </c>
    </row>
    <row r="3" spans="1:12">
      <c r="A3" s="182"/>
      <c r="B3" s="182"/>
      <c r="C3" s="182"/>
      <c r="D3" s="182"/>
      <c r="E3" s="182"/>
      <c r="F3" s="182"/>
      <c r="G3" s="183"/>
      <c r="H3" s="3"/>
      <c r="I3" s="3"/>
      <c r="J3" s="3"/>
      <c r="K3" s="3"/>
    </row>
    <row r="4" spans="1:12">
      <c r="A4" s="184" t="s">
        <v>54</v>
      </c>
      <c r="B4" s="184"/>
      <c r="C4" s="184"/>
      <c r="D4" s="184"/>
      <c r="E4" s="182"/>
      <c r="F4" s="182"/>
      <c r="G4" s="183"/>
      <c r="H4" s="3"/>
      <c r="I4" s="3"/>
      <c r="J4" s="3"/>
      <c r="K4" s="3"/>
    </row>
    <row r="5" spans="1:12">
      <c r="A5" s="185" t="s">
        <v>19</v>
      </c>
      <c r="B5" s="185"/>
      <c r="C5" s="221">
        <f>'Data Sheet'!C66</f>
        <v>8000</v>
      </c>
      <c r="D5" s="221">
        <f>'Data Sheet'!D66</f>
        <v>8887</v>
      </c>
      <c r="E5" s="221">
        <f>'Data Sheet'!E66</f>
        <v>10143</v>
      </c>
      <c r="F5" s="221">
        <f>'Data Sheet'!F66</f>
        <v>10282</v>
      </c>
      <c r="G5" s="222">
        <f>'Data Sheet'!G66</f>
        <v>9340</v>
      </c>
      <c r="H5" s="213">
        <f>'HUL IS'!H38</f>
        <v>11121.402989999999</v>
      </c>
      <c r="I5" s="213">
        <f>'HUL IS'!I38</f>
        <v>11838.716755649997</v>
      </c>
      <c r="J5" s="213">
        <f>'HUL IS'!J38</f>
        <v>12597.818607582747</v>
      </c>
      <c r="K5" s="213">
        <f>'HUL IS'!K38</f>
        <v>13401.247099466618</v>
      </c>
      <c r="L5" s="213">
        <f>'HUL IS'!L38</f>
        <v>14251.692316477805</v>
      </c>
    </row>
    <row r="6" spans="1:12">
      <c r="A6" s="185"/>
      <c r="B6" s="185"/>
      <c r="C6" s="221"/>
      <c r="D6" s="221"/>
      <c r="E6" s="223"/>
      <c r="F6" s="223"/>
      <c r="G6" s="224"/>
      <c r="H6" s="213"/>
      <c r="I6" s="213"/>
      <c r="J6" s="213"/>
      <c r="K6" s="213"/>
      <c r="L6" s="214"/>
    </row>
    <row r="7" spans="1:12">
      <c r="A7" s="186" t="s">
        <v>55</v>
      </c>
      <c r="B7" s="186"/>
      <c r="C7" s="225"/>
      <c r="D7" s="225"/>
      <c r="E7" s="223"/>
      <c r="F7" s="223"/>
      <c r="G7" s="224"/>
      <c r="H7" s="213"/>
      <c r="I7" s="213"/>
      <c r="J7" s="213"/>
      <c r="K7" s="213"/>
      <c r="L7" s="214"/>
    </row>
    <row r="8" spans="1:12">
      <c r="A8" s="187" t="s">
        <v>102</v>
      </c>
      <c r="B8" s="187"/>
      <c r="C8" s="226">
        <f>'Data Sheet'!C68</f>
        <v>1074</v>
      </c>
      <c r="D8" s="226">
        <f>'Data Sheet'!D68</f>
        <v>1074</v>
      </c>
      <c r="E8" s="226">
        <f>'Data Sheet'!E68</f>
        <v>1074</v>
      </c>
      <c r="F8" s="226">
        <f>'Data Sheet'!F68</f>
        <v>1074</v>
      </c>
      <c r="G8" s="227">
        <f>'Data Sheet'!G68</f>
        <v>1074</v>
      </c>
      <c r="H8" s="213">
        <f>-'Calculation Sheet'!H7</f>
        <v>1358.375</v>
      </c>
      <c r="I8" s="213">
        <f>-'Calculation Sheet'!I7</f>
        <v>1373.1713850000001</v>
      </c>
      <c r="J8" s="213">
        <f>-'Calculation Sheet'!J7</f>
        <v>1390.5232059750001</v>
      </c>
      <c r="K8" s="213">
        <f>-'Calculation Sheet'!K7</f>
        <v>1410.542097761625</v>
      </c>
      <c r="L8" s="213">
        <f>-'Calculation Sheet'!L7</f>
        <v>1433.3474355697444</v>
      </c>
    </row>
    <row r="9" spans="1:12">
      <c r="A9" s="188"/>
      <c r="B9" s="182"/>
      <c r="C9" s="223"/>
      <c r="D9" s="223"/>
      <c r="E9" s="223"/>
      <c r="F9" s="223"/>
      <c r="G9" s="224"/>
      <c r="H9" s="213"/>
      <c r="I9" s="213"/>
      <c r="J9" s="213"/>
      <c r="K9" s="213"/>
      <c r="L9" s="214"/>
    </row>
    <row r="10" spans="1:12">
      <c r="A10" s="186" t="s">
        <v>56</v>
      </c>
      <c r="B10" s="186"/>
      <c r="C10" s="225"/>
      <c r="D10" s="225"/>
      <c r="E10" s="223"/>
      <c r="F10" s="223"/>
      <c r="G10" s="224"/>
      <c r="H10" s="213"/>
      <c r="I10" s="213"/>
      <c r="J10" s="213"/>
      <c r="K10" s="213"/>
      <c r="L10" s="214"/>
    </row>
    <row r="11" spans="1:12">
      <c r="A11" s="187" t="s">
        <v>31</v>
      </c>
      <c r="B11" s="187"/>
      <c r="C11" s="226" t="str">
        <f>'Data Sheet'!C70</f>
        <v>-</v>
      </c>
      <c r="D11" s="226">
        <f>'Data Sheet'!D70</f>
        <v>-271</v>
      </c>
      <c r="E11" s="226">
        <f>'Data Sheet'!E70</f>
        <v>-407</v>
      </c>
      <c r="F11" s="226">
        <f>'Data Sheet'!F70</f>
        <v>-66</v>
      </c>
      <c r="G11" s="227">
        <f>'Data Sheet'!G70</f>
        <v>29</v>
      </c>
      <c r="H11" s="213">
        <f>-('HUL BS'!H6-'HUL BS'!G6)</f>
        <v>-184.38400000000001</v>
      </c>
      <c r="I11" s="213">
        <f>-('HUL BS'!I6-'HUL BS'!H6)</f>
        <v>-195.02303999999958</v>
      </c>
      <c r="J11" s="213">
        <f>-('HUL BS'!J6-'HUL BS'!I6)</f>
        <v>-206.72442240000009</v>
      </c>
      <c r="K11" s="213">
        <f>-('HUL BS'!K6-'HUL BS'!J6)</f>
        <v>-219.12788774400042</v>
      </c>
      <c r="L11" s="213">
        <f>-('HUL BS'!L6-'HUL BS'!K6)</f>
        <v>-232.27556100864012</v>
      </c>
    </row>
    <row r="12" spans="1:12">
      <c r="A12" s="187" t="s">
        <v>32</v>
      </c>
      <c r="B12" s="187"/>
      <c r="C12" s="226" t="str">
        <f>'Data Sheet'!C71</f>
        <v>-</v>
      </c>
      <c r="D12" s="226">
        <f>'Data Sheet'!D71</f>
        <v>-271</v>
      </c>
      <c r="E12" s="226">
        <f>'Data Sheet'!E71</f>
        <v>-407</v>
      </c>
      <c r="F12" s="226">
        <f>'Data Sheet'!F71</f>
        <v>-66</v>
      </c>
      <c r="G12" s="227">
        <f>'Data Sheet'!G71</f>
        <v>29</v>
      </c>
      <c r="H12" s="213">
        <f>-('HUL BS'!H7-'HUL BS'!G7)</f>
        <v>-183.96000000000004</v>
      </c>
      <c r="I12" s="213">
        <f>-('HUL BS'!I7-'HUL BS'!H7)</f>
        <v>-194.99759999999924</v>
      </c>
      <c r="J12" s="213">
        <f>-('HUL BS'!J7-'HUL BS'!I7)</f>
        <v>-206.69745600000033</v>
      </c>
      <c r="K12" s="213">
        <f>-('HUL BS'!K7-'HUL BS'!J7)</f>
        <v>-219.09930336000025</v>
      </c>
      <c r="L12" s="213">
        <f>-('HUL BS'!L7-'HUL BS'!K7)</f>
        <v>-232.24526156159982</v>
      </c>
    </row>
    <row r="13" spans="1:12">
      <c r="A13" s="187" t="s">
        <v>57</v>
      </c>
      <c r="B13" s="187"/>
      <c r="C13" s="226" t="str">
        <f>'Data Sheet'!C72</f>
        <v>-</v>
      </c>
      <c r="D13" s="226">
        <f>'Data Sheet'!D72</f>
        <v>542</v>
      </c>
      <c r="E13" s="226">
        <f>'Data Sheet'!E72</f>
        <v>813</v>
      </c>
      <c r="F13" s="226">
        <f>'Data Sheet'!F72</f>
        <v>132</v>
      </c>
      <c r="G13" s="227">
        <f>'Data Sheet'!G72</f>
        <v>-57</v>
      </c>
      <c r="H13" s="213">
        <f>'HUL BS'!H17-'HUL BS'!G17</f>
        <v>367.76800000000003</v>
      </c>
      <c r="I13" s="213">
        <f>'HUL BS'!I17-'HUL BS'!H17</f>
        <v>390.04607999999917</v>
      </c>
      <c r="J13" s="213">
        <f>'HUL BS'!J17-'HUL BS'!I17</f>
        <v>413.44884480000019</v>
      </c>
      <c r="K13" s="213">
        <f>'HUL BS'!K17-'HUL BS'!J17</f>
        <v>438.25577548800084</v>
      </c>
      <c r="L13" s="213">
        <f>'HUL BS'!L17-'HUL BS'!K17</f>
        <v>464.55112201728025</v>
      </c>
    </row>
    <row r="14" spans="1:12">
      <c r="A14" s="189"/>
      <c r="B14" s="189"/>
      <c r="C14" s="228"/>
      <c r="D14" s="228"/>
      <c r="E14" s="229"/>
      <c r="F14" s="229"/>
      <c r="G14" s="230"/>
      <c r="H14" s="215"/>
      <c r="I14" s="215"/>
      <c r="J14" s="215"/>
      <c r="K14" s="215"/>
      <c r="L14" s="216"/>
    </row>
    <row r="15" spans="1:12">
      <c r="A15" s="190" t="s">
        <v>58</v>
      </c>
      <c r="B15" s="190"/>
      <c r="C15" s="231">
        <f>SUM(C5:C13)</f>
        <v>9074</v>
      </c>
      <c r="D15" s="231">
        <f t="shared" ref="D15:G15" si="0">SUM(D5:D13)</f>
        <v>9961</v>
      </c>
      <c r="E15" s="231">
        <f t="shared" si="0"/>
        <v>11216</v>
      </c>
      <c r="F15" s="231">
        <f t="shared" si="0"/>
        <v>11356</v>
      </c>
      <c r="G15" s="232">
        <f t="shared" si="0"/>
        <v>10415</v>
      </c>
      <c r="H15" s="217">
        <f>SUM(H5:H13)</f>
        <v>12479.201989999998</v>
      </c>
      <c r="I15" s="217">
        <f t="shared" ref="I15:L15" si="1">SUM(I5:I13)</f>
        <v>13211.913580649998</v>
      </c>
      <c r="J15" s="217">
        <f t="shared" si="1"/>
        <v>13988.368779957746</v>
      </c>
      <c r="K15" s="217">
        <f t="shared" si="1"/>
        <v>14811.817781612244</v>
      </c>
      <c r="L15" s="217">
        <f t="shared" si="1"/>
        <v>15685.070051494589</v>
      </c>
    </row>
    <row r="16" spans="1:12">
      <c r="A16" s="188"/>
      <c r="B16" s="182"/>
      <c r="C16" s="223"/>
      <c r="D16" s="223"/>
      <c r="E16" s="223"/>
      <c r="F16" s="223"/>
      <c r="G16" s="224"/>
      <c r="H16" s="213"/>
      <c r="I16" s="213"/>
      <c r="J16" s="213"/>
      <c r="K16" s="213"/>
      <c r="L16" s="214"/>
    </row>
    <row r="17" spans="1:13">
      <c r="A17" s="184" t="s">
        <v>59</v>
      </c>
      <c r="B17" s="184"/>
      <c r="C17" s="233"/>
      <c r="D17" s="233"/>
      <c r="E17" s="223"/>
      <c r="F17" s="223"/>
      <c r="G17" s="224"/>
      <c r="H17" s="213"/>
      <c r="I17" s="213"/>
      <c r="J17" s="213"/>
      <c r="K17" s="213"/>
      <c r="L17" s="214"/>
    </row>
    <row r="18" spans="1:13">
      <c r="A18" s="187" t="s">
        <v>60</v>
      </c>
      <c r="B18" s="187"/>
      <c r="C18" s="226">
        <f>'Data Sheet'!C75</f>
        <v>-2517</v>
      </c>
      <c r="D18" s="226">
        <f>'Data Sheet'!D75</f>
        <v>-1121</v>
      </c>
      <c r="E18" s="226">
        <f>'Data Sheet'!E75</f>
        <v>-2342</v>
      </c>
      <c r="F18" s="226">
        <f>'Data Sheet'!F75</f>
        <v>-2282</v>
      </c>
      <c r="G18" s="227">
        <f>'Data Sheet'!G75</f>
        <v>-1946</v>
      </c>
      <c r="H18" s="213">
        <f>-'Calculation Sheet'!H6</f>
        <v>-1950.2303999999999</v>
      </c>
      <c r="I18" s="213">
        <f>-'Calculation Sheet'!I6</f>
        <v>-2067.2442239999996</v>
      </c>
      <c r="J18" s="213">
        <f>-'Calculation Sheet'!J6</f>
        <v>-2191.2788774399996</v>
      </c>
      <c r="K18" s="213">
        <f>-'Calculation Sheet'!K6</f>
        <v>-2322.7556100863999</v>
      </c>
      <c r="L18" s="213">
        <f>-'Calculation Sheet'!L6</f>
        <v>-2462.1209466915843</v>
      </c>
    </row>
    <row r="19" spans="1:13">
      <c r="A19" s="191" t="s">
        <v>61</v>
      </c>
      <c r="B19" s="191"/>
      <c r="C19" s="234">
        <f>'Data Sheet'!C76</f>
        <v>-2517</v>
      </c>
      <c r="D19" s="234">
        <f>'Data Sheet'!D76</f>
        <v>-1121</v>
      </c>
      <c r="E19" s="234">
        <f>'Data Sheet'!E76</f>
        <v>-2342</v>
      </c>
      <c r="F19" s="234">
        <f>'Data Sheet'!F76</f>
        <v>-2282</v>
      </c>
      <c r="G19" s="235">
        <f>'Data Sheet'!G76</f>
        <v>-1946</v>
      </c>
      <c r="H19" s="218">
        <f>H18</f>
        <v>-1950.2303999999999</v>
      </c>
      <c r="I19" s="218">
        <f t="shared" ref="I19:L19" si="2">I18</f>
        <v>-2067.2442239999996</v>
      </c>
      <c r="J19" s="218">
        <f t="shared" si="2"/>
        <v>-2191.2788774399996</v>
      </c>
      <c r="K19" s="218">
        <f t="shared" si="2"/>
        <v>-2322.7556100863999</v>
      </c>
      <c r="L19" s="218">
        <f t="shared" si="2"/>
        <v>-2462.1209466915843</v>
      </c>
    </row>
    <row r="20" spans="1:13">
      <c r="A20" s="188"/>
      <c r="B20" s="182"/>
      <c r="C20" s="223"/>
      <c r="D20" s="223"/>
      <c r="E20" s="223"/>
      <c r="F20" s="223"/>
      <c r="G20" s="224"/>
      <c r="H20" s="213"/>
      <c r="I20" s="213"/>
      <c r="J20" s="213"/>
      <c r="K20" s="213"/>
      <c r="L20" s="214"/>
    </row>
    <row r="21" spans="1:13">
      <c r="A21" s="184" t="s">
        <v>62</v>
      </c>
      <c r="B21" s="184"/>
      <c r="C21" s="233"/>
      <c r="D21" s="233"/>
      <c r="E21" s="223"/>
      <c r="F21" s="223"/>
      <c r="G21" s="224"/>
      <c r="H21" s="213"/>
      <c r="I21" s="213"/>
      <c r="J21" s="213"/>
      <c r="K21" s="213"/>
      <c r="L21" s="214"/>
    </row>
    <row r="22" spans="1:13">
      <c r="A22" s="187" t="s">
        <v>103</v>
      </c>
      <c r="B22" s="187"/>
      <c r="C22" s="226" t="str">
        <f>'Data Sheet'!C78</f>
        <v>-</v>
      </c>
      <c r="D22" s="226">
        <f>'Data Sheet'!D78</f>
        <v>-7500</v>
      </c>
      <c r="E22" s="226">
        <f>'Data Sheet'!E78</f>
        <v>-8900</v>
      </c>
      <c r="F22" s="226">
        <f>'Data Sheet'!F78</f>
        <v>-9368</v>
      </c>
      <c r="G22" s="227">
        <f>'Data Sheet'!G78</f>
        <v>-8500</v>
      </c>
      <c r="H22" s="213">
        <f>'Calculation Sheet'!H18</f>
        <v>-10009.262691</v>
      </c>
      <c r="I22" s="213">
        <f>'Calculation Sheet'!I18</f>
        <v>-10654.845080084997</v>
      </c>
      <c r="J22" s="213">
        <f>'Calculation Sheet'!J18</f>
        <v>-11338.036746824473</v>
      </c>
      <c r="K22" s="213">
        <f>'Calculation Sheet'!K18</f>
        <v>-12061.122389519956</v>
      </c>
      <c r="L22" s="213">
        <f>'Calculation Sheet'!L18</f>
        <v>-12826.523084830025</v>
      </c>
    </row>
    <row r="23" spans="1:13">
      <c r="A23" s="187" t="s">
        <v>63</v>
      </c>
      <c r="B23" s="187"/>
      <c r="C23" s="226" t="str">
        <f>'Data Sheet'!C79</f>
        <v>-</v>
      </c>
      <c r="D23" s="226" t="str">
        <f>'Data Sheet'!D79</f>
        <v>-</v>
      </c>
      <c r="E23" s="226" t="str">
        <f>'Data Sheet'!E79</f>
        <v>-</v>
      </c>
      <c r="F23" s="226" t="str">
        <f>'Data Sheet'!F79</f>
        <v>-</v>
      </c>
      <c r="G23" s="227" t="str">
        <f>'Data Sheet'!G79</f>
        <v>-</v>
      </c>
      <c r="H23" s="213" t="s">
        <v>52</v>
      </c>
      <c r="I23" s="213" t="s">
        <v>52</v>
      </c>
      <c r="J23" s="213" t="s">
        <v>52</v>
      </c>
      <c r="K23" s="213" t="s">
        <v>52</v>
      </c>
      <c r="L23" s="213" t="s">
        <v>52</v>
      </c>
    </row>
    <row r="24" spans="1:13" s="73" customFormat="1" ht="17.399999999999999">
      <c r="A24" s="191" t="s">
        <v>64</v>
      </c>
      <c r="B24" s="191"/>
      <c r="C24" s="234">
        <f>SUM(C22:C23)</f>
        <v>0</v>
      </c>
      <c r="D24" s="234">
        <f t="shared" ref="D24:G24" si="3">SUM(D22:D23)</f>
        <v>-7500</v>
      </c>
      <c r="E24" s="234">
        <f t="shared" si="3"/>
        <v>-8900</v>
      </c>
      <c r="F24" s="234">
        <f t="shared" si="3"/>
        <v>-9368</v>
      </c>
      <c r="G24" s="235">
        <f t="shared" si="3"/>
        <v>-8500</v>
      </c>
      <c r="H24" s="218">
        <f>SUM(H22:H23)</f>
        <v>-10009.262691</v>
      </c>
      <c r="I24" s="218">
        <f t="shared" ref="I24:L24" si="4">SUM(I22:I23)</f>
        <v>-10654.845080084997</v>
      </c>
      <c r="J24" s="218">
        <f t="shared" si="4"/>
        <v>-11338.036746824473</v>
      </c>
      <c r="K24" s="218">
        <f t="shared" si="4"/>
        <v>-12061.122389519956</v>
      </c>
      <c r="L24" s="218">
        <f t="shared" si="4"/>
        <v>-12826.523084830025</v>
      </c>
      <c r="M24"/>
    </row>
    <row r="25" spans="1:13" s="73" customFormat="1" ht="17.399999999999999">
      <c r="A25" s="182"/>
      <c r="B25" s="182"/>
      <c r="C25" s="223"/>
      <c r="D25" s="223"/>
      <c r="E25" s="223"/>
      <c r="F25" s="223"/>
      <c r="G25" s="224"/>
      <c r="H25" s="213"/>
      <c r="I25" s="213"/>
      <c r="J25" s="213"/>
      <c r="K25" s="213"/>
      <c r="L25" s="214"/>
      <c r="M25"/>
    </row>
    <row r="26" spans="1:13">
      <c r="A26" s="182" t="s">
        <v>48</v>
      </c>
      <c r="B26" s="182"/>
      <c r="C26" s="223">
        <f>'Data Sheet'!C81</f>
        <v>6557</v>
      </c>
      <c r="D26" s="223">
        <f>'Data Sheet'!D81</f>
        <v>1357</v>
      </c>
      <c r="E26" s="223">
        <f>'Data Sheet'!E81</f>
        <v>37</v>
      </c>
      <c r="F26" s="223">
        <f>'Data Sheet'!F81</f>
        <v>-152</v>
      </c>
      <c r="G26" s="224">
        <f>'Data Sheet'!G81</f>
        <v>250</v>
      </c>
      <c r="H26" s="213">
        <f>SUM(H15,H19,H24)</f>
        <v>519.70889899999747</v>
      </c>
      <c r="I26" s="213">
        <f t="shared" ref="I26:L26" si="5">SUM(I15,I19,I24)</f>
        <v>489.82427656500113</v>
      </c>
      <c r="J26" s="213">
        <f t="shared" si="5"/>
        <v>459.05315569327286</v>
      </c>
      <c r="K26" s="213">
        <f t="shared" si="5"/>
        <v>427.93978200588754</v>
      </c>
      <c r="L26" s="213">
        <f t="shared" si="5"/>
        <v>396.4260199729797</v>
      </c>
    </row>
    <row r="27" spans="1:13">
      <c r="A27" s="192" t="s">
        <v>65</v>
      </c>
      <c r="B27" s="192"/>
      <c r="C27" s="236">
        <f>'Data Sheet'!C82</f>
        <v>1000</v>
      </c>
      <c r="D27" s="236">
        <f>C28</f>
        <v>7557</v>
      </c>
      <c r="E27" s="236">
        <f t="shared" ref="E27:F27" si="6">D28</f>
        <v>8914</v>
      </c>
      <c r="F27" s="236">
        <f t="shared" si="6"/>
        <v>8951</v>
      </c>
      <c r="G27" s="237">
        <f>F28</f>
        <v>8799</v>
      </c>
      <c r="H27" s="219">
        <f>G28</f>
        <v>9049</v>
      </c>
      <c r="I27" s="219">
        <f t="shared" ref="I27:L27" si="7">H28</f>
        <v>9568.7088989999975</v>
      </c>
      <c r="J27" s="219">
        <f t="shared" si="7"/>
        <v>10058.533175564999</v>
      </c>
      <c r="K27" s="219">
        <f t="shared" si="7"/>
        <v>10517.586331258271</v>
      </c>
      <c r="L27" s="219">
        <f t="shared" si="7"/>
        <v>10945.526113264159</v>
      </c>
    </row>
    <row r="28" spans="1:13" s="194" customFormat="1" ht="15" thickBot="1">
      <c r="A28" s="193" t="s">
        <v>66</v>
      </c>
      <c r="B28" s="193"/>
      <c r="C28" s="238">
        <f>'Data Sheet'!C83</f>
        <v>7557</v>
      </c>
      <c r="D28" s="238">
        <f>'Data Sheet'!D83</f>
        <v>8914</v>
      </c>
      <c r="E28" s="238">
        <f>'Data Sheet'!E83</f>
        <v>8951</v>
      </c>
      <c r="F28" s="238">
        <f>'Data Sheet'!F83</f>
        <v>8799</v>
      </c>
      <c r="G28" s="239">
        <f>'Data Sheet'!G83</f>
        <v>9049</v>
      </c>
      <c r="H28" s="220">
        <f>SUM(H26:H27)</f>
        <v>9568.7088989999975</v>
      </c>
      <c r="I28" s="220">
        <f t="shared" ref="I28:L28" si="8">SUM(I26:I27)</f>
        <v>10058.533175564999</v>
      </c>
      <c r="J28" s="220">
        <f t="shared" si="8"/>
        <v>10517.586331258271</v>
      </c>
      <c r="K28" s="220">
        <f t="shared" si="8"/>
        <v>10945.526113264159</v>
      </c>
      <c r="L28" s="220">
        <f t="shared" si="8"/>
        <v>11341.952133237139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EB2D-B1B0-4B83-9446-7B015D843CFF}">
  <sheetPr codeName="Sheet6">
    <tabColor rgb="FFFF0000"/>
  </sheetPr>
  <dimension ref="A1:T51"/>
  <sheetViews>
    <sheetView showGridLines="0" topLeftCell="A24" zoomScale="88" workbookViewId="0">
      <selection activeCell="A53" sqref="A53"/>
    </sheetView>
  </sheetViews>
  <sheetFormatPr defaultRowHeight="14.4"/>
  <cols>
    <col min="1" max="1" width="27.109375" customWidth="1"/>
    <col min="2" max="2" width="33.21875" bestFit="1" customWidth="1"/>
    <col min="3" max="3" width="32.77734375" bestFit="1" customWidth="1"/>
    <col min="4" max="4" width="18.6640625" bestFit="1" customWidth="1"/>
    <col min="5" max="5" width="22.5546875" bestFit="1" customWidth="1"/>
    <col min="6" max="7" width="8.109375" bestFit="1" customWidth="1"/>
    <col min="8" max="8" width="11.44140625" bestFit="1" customWidth="1"/>
    <col min="9" max="9" width="9.21875" customWidth="1"/>
    <col min="10" max="10" width="7.88671875" bestFit="1" customWidth="1"/>
    <col min="11" max="11" width="17.21875" bestFit="1" customWidth="1"/>
    <col min="12" max="12" width="15.109375" bestFit="1" customWidth="1"/>
  </cols>
  <sheetData>
    <row r="1" spans="1:20" ht="16.2" thickBot="1">
      <c r="A1" s="434" t="s">
        <v>161</v>
      </c>
      <c r="B1" s="434"/>
      <c r="C1" s="434"/>
      <c r="D1" s="434"/>
      <c r="E1" s="434"/>
      <c r="F1" s="434"/>
      <c r="G1" s="434"/>
    </row>
    <row r="2" spans="1:20" ht="15" customHeight="1" thickBot="1">
      <c r="A2" s="435" t="s">
        <v>126</v>
      </c>
      <c r="B2" s="436"/>
      <c r="C2" s="436"/>
      <c r="D2" s="436"/>
      <c r="E2" s="436"/>
      <c r="F2" s="436"/>
      <c r="G2" s="437"/>
      <c r="K2" s="440" t="s">
        <v>180</v>
      </c>
      <c r="L2" s="441"/>
      <c r="M2" s="441"/>
      <c r="N2" s="441"/>
      <c r="O2" s="441"/>
      <c r="P2" s="442"/>
    </row>
    <row r="3" spans="1:20" ht="15.6">
      <c r="D3" s="250"/>
      <c r="E3" s="250"/>
      <c r="F3" s="250"/>
      <c r="G3" s="250"/>
      <c r="H3" s="250"/>
      <c r="I3" s="250"/>
    </row>
    <row r="4" spans="1:20" ht="16.2" thickBot="1">
      <c r="A4" s="313" t="s">
        <v>127</v>
      </c>
      <c r="B4" s="314"/>
      <c r="C4" s="250"/>
      <c r="D4" s="313" t="s">
        <v>128</v>
      </c>
      <c r="E4" s="314"/>
      <c r="I4" s="250"/>
      <c r="K4" s="320"/>
      <c r="L4" s="318"/>
      <c r="M4" s="448" t="s">
        <v>181</v>
      </c>
      <c r="N4" s="449"/>
      <c r="O4" s="449"/>
      <c r="P4" s="449"/>
    </row>
    <row r="5" spans="1:20" ht="15.6">
      <c r="A5" s="315" t="s">
        <v>129</v>
      </c>
      <c r="B5" s="409">
        <v>0.05</v>
      </c>
      <c r="C5" s="74"/>
      <c r="D5" s="315" t="s">
        <v>130</v>
      </c>
      <c r="E5" s="421">
        <v>0.44</v>
      </c>
      <c r="I5" s="250"/>
      <c r="K5" s="324" t="s">
        <v>187</v>
      </c>
      <c r="L5" s="319">
        <f>C49</f>
        <v>1733.5453563649096</v>
      </c>
      <c r="M5" s="323">
        <v>0.03</v>
      </c>
      <c r="N5" s="323">
        <v>0.04</v>
      </c>
      <c r="O5" s="323">
        <v>0.05</v>
      </c>
      <c r="P5" s="323">
        <v>0.06</v>
      </c>
    </row>
    <row r="6" spans="1:20" ht="15.6">
      <c r="A6" s="315" t="s">
        <v>163</v>
      </c>
      <c r="B6" s="410">
        <v>35.71</v>
      </c>
      <c r="C6" s="250"/>
      <c r="D6" s="315" t="s">
        <v>131</v>
      </c>
      <c r="E6" s="422">
        <v>0.12</v>
      </c>
      <c r="I6" s="250"/>
      <c r="K6" s="445" t="s">
        <v>144</v>
      </c>
      <c r="L6" s="322">
        <v>7.0000000000000007E-2</v>
      </c>
      <c r="M6" s="321">
        <f t="dataTable" ref="M6:P9" dt2D="1" dtr="1" r1="B5" r2="C26"/>
        <v>1798.9282036234813</v>
      </c>
      <c r="N6" s="321">
        <v>1982.7841540394259</v>
      </c>
      <c r="O6" s="321">
        <v>2350.4960548713143</v>
      </c>
      <c r="P6" s="321">
        <v>3453.6317573669794</v>
      </c>
    </row>
    <row r="7" spans="1:20" ht="15.6">
      <c r="A7" s="315" t="s">
        <v>132</v>
      </c>
      <c r="B7" s="409">
        <v>3.44E-2</v>
      </c>
      <c r="C7" s="250"/>
      <c r="D7" s="315" t="s">
        <v>133</v>
      </c>
      <c r="E7" s="423">
        <f>'Data Sheet'!B9</f>
        <v>463997.75</v>
      </c>
      <c r="I7" s="250"/>
      <c r="K7" s="446"/>
      <c r="L7" s="322">
        <v>0.08</v>
      </c>
      <c r="M7" s="321">
        <v>1619.2030080231837</v>
      </c>
      <c r="N7" s="321">
        <v>1725.4872866784006</v>
      </c>
      <c r="O7" s="321">
        <v>1902.6277511037626</v>
      </c>
      <c r="P7" s="321">
        <v>2256.9086799544866</v>
      </c>
    </row>
    <row r="8" spans="1:20" ht="15.6">
      <c r="A8" s="315" t="s">
        <v>18</v>
      </c>
      <c r="B8" s="411">
        <f>'Assumption Sheet'!H13</f>
        <v>0.25</v>
      </c>
      <c r="C8" s="250"/>
      <c r="D8" s="315" t="s">
        <v>134</v>
      </c>
      <c r="E8" s="423">
        <f>'HUL BS'!G23</f>
        <v>11325</v>
      </c>
      <c r="I8" s="250"/>
      <c r="K8" s="446"/>
      <c r="L8" s="322">
        <v>8.9099999999999999E-2</v>
      </c>
      <c r="M8" s="321">
        <v>1495.8203849903368</v>
      </c>
      <c r="N8" s="321">
        <v>1566.6563870332379</v>
      </c>
      <c r="O8" s="321">
        <v>1673.7256382029429</v>
      </c>
      <c r="P8" s="321">
        <v>1854.3820035786309</v>
      </c>
    </row>
    <row r="9" spans="1:20" ht="15.6">
      <c r="A9" s="315" t="s">
        <v>135</v>
      </c>
      <c r="B9" s="409">
        <v>6.25E-2</v>
      </c>
      <c r="C9" s="250"/>
      <c r="D9" s="315" t="s">
        <v>162</v>
      </c>
      <c r="E9" s="424">
        <f>E7+E8-'HUL BS'!G5</f>
        <v>466273.75</v>
      </c>
      <c r="I9" s="250"/>
      <c r="K9" s="447"/>
      <c r="L9" s="322">
        <v>0.1</v>
      </c>
      <c r="M9" s="321">
        <v>1377.9164198663004</v>
      </c>
      <c r="N9" s="321">
        <v>1424.9463156033162</v>
      </c>
      <c r="O9" s="321">
        <v>1490.7881696351387</v>
      </c>
      <c r="P9" s="321">
        <v>1589.5509506828719</v>
      </c>
    </row>
    <row r="10" spans="1:20" ht="15.6">
      <c r="D10" s="250"/>
      <c r="E10" s="250"/>
      <c r="F10" s="250"/>
      <c r="G10" s="250"/>
      <c r="H10" s="250"/>
      <c r="I10" s="250"/>
      <c r="J10" s="250"/>
      <c r="K10" s="316"/>
    </row>
    <row r="11" spans="1:20" ht="15.6">
      <c r="A11" s="315" t="s">
        <v>175</v>
      </c>
      <c r="B11" s="253"/>
      <c r="C11" s="253"/>
      <c r="D11" s="254">
        <v>2026</v>
      </c>
      <c r="E11" s="254">
        <v>2027</v>
      </c>
      <c r="F11" s="254">
        <v>2028</v>
      </c>
      <c r="G11" s="254">
        <v>2029</v>
      </c>
      <c r="H11" s="254">
        <v>2030</v>
      </c>
      <c r="K11" s="316"/>
    </row>
    <row r="12" spans="1:20" ht="15.6">
      <c r="B12" s="255" t="s">
        <v>136</v>
      </c>
      <c r="C12" s="255">
        <v>0</v>
      </c>
      <c r="D12" s="255">
        <v>1</v>
      </c>
      <c r="E12" s="255">
        <v>2</v>
      </c>
      <c r="F12" s="255">
        <v>3</v>
      </c>
      <c r="G12" s="255">
        <v>4</v>
      </c>
      <c r="H12" s="255">
        <v>5</v>
      </c>
      <c r="K12" s="443" t="s">
        <v>182</v>
      </c>
      <c r="L12" s="443"/>
      <c r="M12" s="443"/>
      <c r="N12" s="443"/>
      <c r="O12" s="443"/>
      <c r="P12" s="443"/>
    </row>
    <row r="13" spans="1:20" ht="15.6">
      <c r="B13" s="250"/>
      <c r="C13" s="250"/>
      <c r="D13" s="250"/>
      <c r="E13" s="250"/>
      <c r="F13" s="250"/>
      <c r="G13" s="250"/>
      <c r="H13" s="250"/>
      <c r="K13" s="444" t="s">
        <v>183</v>
      </c>
      <c r="L13" s="444"/>
    </row>
    <row r="14" spans="1:20" ht="15.6">
      <c r="B14" s="256" t="s">
        <v>137</v>
      </c>
      <c r="C14" s="250"/>
      <c r="D14" s="250"/>
      <c r="E14" s="250"/>
      <c r="F14" s="250"/>
      <c r="G14" s="250"/>
      <c r="H14" s="250"/>
      <c r="K14" s="196" t="s">
        <v>118</v>
      </c>
      <c r="L14" s="325">
        <v>0.03</v>
      </c>
      <c r="M14" s="250"/>
      <c r="N14" s="439" t="s">
        <v>185</v>
      </c>
      <c r="O14" s="439"/>
      <c r="P14" s="439"/>
      <c r="Q14" s="439"/>
      <c r="R14" s="439"/>
      <c r="S14" s="439"/>
      <c r="T14" s="439"/>
    </row>
    <row r="15" spans="1:20" ht="15.6">
      <c r="B15" s="251" t="s">
        <v>138</v>
      </c>
      <c r="C15" s="250"/>
      <c r="D15" s="425">
        <f>'HUL IS'!H28</f>
        <v>15218.5834</v>
      </c>
      <c r="E15" s="425">
        <f>'HUL IS'!I28</f>
        <v>16198.404518999996</v>
      </c>
      <c r="F15" s="425">
        <f>'HUL IS'!J28</f>
        <v>17235.347252264997</v>
      </c>
      <c r="G15" s="425">
        <f>'HUL IS'!K28</f>
        <v>18332.880587972773</v>
      </c>
      <c r="H15" s="425">
        <f>'HUL IS'!L28</f>
        <v>19494.680611308722</v>
      </c>
      <c r="J15" s="194" t="s">
        <v>186</v>
      </c>
      <c r="K15" s="196" t="s">
        <v>119</v>
      </c>
      <c r="L15" s="325">
        <v>0.05</v>
      </c>
      <c r="N15" s="439"/>
      <c r="O15" s="439"/>
      <c r="P15" s="439"/>
      <c r="Q15" s="439"/>
      <c r="R15" s="439"/>
      <c r="S15" s="439"/>
      <c r="T15" s="439"/>
    </row>
    <row r="16" spans="1:20" ht="15.6">
      <c r="B16" s="251" t="s">
        <v>139</v>
      </c>
      <c r="C16" s="250"/>
      <c r="D16" s="262">
        <f>-D15*$B$8</f>
        <v>-3804.6458499999999</v>
      </c>
      <c r="E16" s="262">
        <f t="shared" ref="E16:H16" si="0">-E15*$B$8</f>
        <v>-4049.601129749999</v>
      </c>
      <c r="F16" s="262">
        <f t="shared" si="0"/>
        <v>-4308.8368130662493</v>
      </c>
      <c r="G16" s="262">
        <f t="shared" si="0"/>
        <v>-4583.2201469931933</v>
      </c>
      <c r="H16" s="262">
        <f t="shared" si="0"/>
        <v>-4873.6701528271806</v>
      </c>
      <c r="K16" s="196" t="s">
        <v>121</v>
      </c>
      <c r="L16" s="325">
        <v>0.06</v>
      </c>
      <c r="N16" s="439"/>
      <c r="O16" s="439"/>
      <c r="P16" s="439"/>
      <c r="Q16" s="439"/>
      <c r="R16" s="439"/>
      <c r="S16" s="439"/>
      <c r="T16" s="439"/>
    </row>
    <row r="17" spans="1:20" ht="15.6">
      <c r="B17" s="251" t="s">
        <v>140</v>
      </c>
      <c r="C17" s="250"/>
      <c r="D17" s="425">
        <f>-'HUL IS'!H22</f>
        <v>1358.375</v>
      </c>
      <c r="E17" s="425">
        <f>-'HUL IS'!I22</f>
        <v>1373.1713850000001</v>
      </c>
      <c r="F17" s="425">
        <f>-'HUL IS'!J22</f>
        <v>1390.5232059750001</v>
      </c>
      <c r="G17" s="425">
        <f>-'HUL IS'!K22</f>
        <v>1410.542097761625</v>
      </c>
      <c r="H17" s="425">
        <f>-'HUL IS'!L22</f>
        <v>1433.3474355697444</v>
      </c>
      <c r="N17" s="439"/>
      <c r="O17" s="439"/>
      <c r="P17" s="439"/>
      <c r="Q17" s="439"/>
      <c r="R17" s="439"/>
      <c r="S17" s="439"/>
      <c r="T17" s="439"/>
    </row>
    <row r="18" spans="1:20" ht="15.6">
      <c r="B18" s="251" t="s">
        <v>141</v>
      </c>
      <c r="C18" s="250"/>
      <c r="D18" s="425">
        <f>'HUL CS'!H18</f>
        <v>-1950.2303999999999</v>
      </c>
      <c r="E18" s="425">
        <f>'HUL CS'!I18</f>
        <v>-2067.2442239999996</v>
      </c>
      <c r="F18" s="425">
        <f>'HUL CS'!J18</f>
        <v>-2191.2788774399996</v>
      </c>
      <c r="G18" s="425">
        <f>'HUL CS'!K18</f>
        <v>-2322.7556100863999</v>
      </c>
      <c r="H18" s="425">
        <f>'HUL CS'!L18</f>
        <v>-2462.1209466915843</v>
      </c>
      <c r="K18" s="438" t="s">
        <v>184</v>
      </c>
      <c r="L18" s="438"/>
      <c r="N18" s="439"/>
      <c r="O18" s="439"/>
      <c r="P18" s="439"/>
      <c r="Q18" s="439"/>
      <c r="R18" s="439"/>
      <c r="S18" s="439"/>
      <c r="T18" s="439"/>
    </row>
    <row r="19" spans="1:20" ht="16.2" thickBot="1">
      <c r="B19" s="248" t="s">
        <v>142</v>
      </c>
      <c r="C19" s="249"/>
      <c r="D19" s="426">
        <f>SUM('HUL CS'!H11:H13)</f>
        <v>-0.57600000000002183</v>
      </c>
      <c r="E19" s="426">
        <f>SUM('HUL CS'!I11:I13)</f>
        <v>2.5440000000344298E-2</v>
      </c>
      <c r="F19" s="426">
        <f>SUM('HUL CS'!J11:J13)</f>
        <v>2.696639999976469E-2</v>
      </c>
      <c r="G19" s="426">
        <f>SUM('HUL CS'!K11:K13)</f>
        <v>2.8584384000168939E-2</v>
      </c>
      <c r="H19" s="426">
        <f>SUM('HUL CS'!L11:L13)</f>
        <v>3.0299447040306404E-2</v>
      </c>
      <c r="K19" s="203" t="s">
        <v>118</v>
      </c>
      <c r="L19" s="326">
        <v>29</v>
      </c>
      <c r="N19" s="439"/>
      <c r="O19" s="439"/>
      <c r="P19" s="439"/>
      <c r="Q19" s="439"/>
      <c r="R19" s="439"/>
      <c r="S19" s="439"/>
      <c r="T19" s="439"/>
    </row>
    <row r="20" spans="1:20" ht="15.6">
      <c r="B20" s="259" t="s">
        <v>143</v>
      </c>
      <c r="C20" s="250"/>
      <c r="D20" s="262">
        <f>SUM(D15:D19)</f>
        <v>10821.506149999997</v>
      </c>
      <c r="E20" s="262">
        <f>SUM(E15:E19)</f>
        <v>11454.755990249996</v>
      </c>
      <c r="F20" s="262">
        <f>SUM(F15:F19)</f>
        <v>12125.781734133747</v>
      </c>
      <c r="G20" s="262">
        <f>SUM(G15:G19)</f>
        <v>12837.475513038804</v>
      </c>
      <c r="H20" s="262">
        <f>SUM(H15:H19)</f>
        <v>13592.267246806741</v>
      </c>
      <c r="J20" s="194" t="s">
        <v>186</v>
      </c>
      <c r="K20" s="203" t="s">
        <v>119</v>
      </c>
      <c r="L20" s="326">
        <v>35.71</v>
      </c>
      <c r="N20" s="439"/>
      <c r="O20" s="439"/>
      <c r="P20" s="439"/>
      <c r="Q20" s="439"/>
      <c r="R20" s="439"/>
      <c r="S20" s="439"/>
      <c r="T20" s="439"/>
    </row>
    <row r="21" spans="1:20" ht="15.6">
      <c r="D21" s="250"/>
      <c r="E21" s="250"/>
      <c r="F21" s="250"/>
      <c r="G21" s="250"/>
      <c r="H21" s="250"/>
      <c r="I21" s="250"/>
      <c r="J21" s="250"/>
      <c r="K21" s="203" t="s">
        <v>121</v>
      </c>
      <c r="L21" s="327">
        <v>40</v>
      </c>
      <c r="N21" s="439"/>
      <c r="O21" s="439"/>
      <c r="P21" s="439"/>
      <c r="Q21" s="439"/>
      <c r="R21" s="439"/>
      <c r="S21" s="439"/>
      <c r="T21" s="439"/>
    </row>
    <row r="22" spans="1:20" ht="15.6">
      <c r="A22" t="s">
        <v>176</v>
      </c>
      <c r="B22" s="256" t="s">
        <v>144</v>
      </c>
      <c r="C22" s="260"/>
      <c r="D22" s="250"/>
      <c r="E22" s="250"/>
      <c r="F22" s="250"/>
      <c r="I22" s="250"/>
      <c r="J22" s="250"/>
      <c r="K22" s="316"/>
    </row>
    <row r="23" spans="1:20" ht="15.6">
      <c r="B23" s="251" t="s">
        <v>145</v>
      </c>
      <c r="C23" s="274">
        <f>B9+E5*(E6-B9)</f>
        <v>8.7800000000000003E-2</v>
      </c>
      <c r="D23" s="250"/>
      <c r="E23" s="259" t="s">
        <v>146</v>
      </c>
      <c r="F23" s="250"/>
      <c r="I23" s="250"/>
      <c r="J23" s="250"/>
      <c r="K23" s="316"/>
    </row>
    <row r="24" spans="1:20" ht="15.6">
      <c r="B24" s="251" t="s">
        <v>147</v>
      </c>
      <c r="C24" s="274">
        <f>E8/(E7+E8)</f>
        <v>2.3825916180111303E-2</v>
      </c>
      <c r="D24" s="250"/>
      <c r="E24" s="250"/>
      <c r="F24" s="250"/>
      <c r="I24" s="250"/>
      <c r="J24" s="250"/>
      <c r="K24" s="316"/>
    </row>
    <row r="25" spans="1:20" ht="16.2" thickBot="1">
      <c r="B25" s="248" t="s">
        <v>148</v>
      </c>
      <c r="C25" s="311">
        <f>E7/(E7+E8)</f>
        <v>0.97617408381988868</v>
      </c>
      <c r="D25" s="250"/>
      <c r="E25" s="250"/>
      <c r="F25" s="250"/>
      <c r="I25" s="250"/>
      <c r="J25" s="250"/>
      <c r="K25" s="316"/>
    </row>
    <row r="26" spans="1:20" ht="15.6">
      <c r="B26" s="259" t="s">
        <v>144</v>
      </c>
      <c r="C26" s="263">
        <f>(C25*C23)+(C24*B7)*(1-B8)</f>
        <v>8.6322793196833114E-2</v>
      </c>
      <c r="D26" s="250"/>
      <c r="E26" s="261" t="s">
        <v>149</v>
      </c>
      <c r="F26" s="250"/>
      <c r="I26" s="250"/>
      <c r="J26" s="250"/>
      <c r="K26" s="316"/>
    </row>
    <row r="27" spans="1:20" ht="15.6">
      <c r="D27" s="250"/>
      <c r="E27" s="250"/>
      <c r="F27" s="250"/>
      <c r="G27" s="250"/>
      <c r="H27" s="250"/>
      <c r="I27" s="250"/>
      <c r="J27" s="250"/>
      <c r="K27" s="316"/>
    </row>
    <row r="28" spans="1:20" ht="15.6">
      <c r="A28" t="s">
        <v>177</v>
      </c>
      <c r="B28" s="256" t="s">
        <v>150</v>
      </c>
      <c r="C28" s="260"/>
      <c r="D28" s="260"/>
      <c r="E28" s="260"/>
      <c r="F28" s="260"/>
      <c r="G28" s="260"/>
      <c r="H28" s="260"/>
      <c r="K28" s="316"/>
    </row>
    <row r="29" spans="1:20" ht="15.6">
      <c r="B29" s="251" t="s">
        <v>151</v>
      </c>
      <c r="C29" s="250"/>
      <c r="D29" s="250"/>
      <c r="E29" s="250"/>
      <c r="F29" s="250"/>
      <c r="G29" s="250"/>
      <c r="H29" s="262">
        <f>'HUL IS'!L20</f>
        <v>19696.967573532675</v>
      </c>
      <c r="I29" s="42"/>
      <c r="K29" s="316"/>
    </row>
    <row r="30" spans="1:20" ht="15.6">
      <c r="B30" s="251" t="s">
        <v>171</v>
      </c>
      <c r="C30" s="250"/>
      <c r="D30" s="250"/>
      <c r="E30" s="250"/>
      <c r="F30" s="250"/>
      <c r="G30" s="250"/>
      <c r="H30" s="262">
        <f>H29*B6</f>
        <v>703378.71205085178</v>
      </c>
    </row>
    <row r="31" spans="1:20" ht="16.2" thickBot="1">
      <c r="B31" s="248" t="s">
        <v>152</v>
      </c>
      <c r="C31" s="249"/>
      <c r="D31" s="249"/>
      <c r="E31" s="249"/>
      <c r="F31" s="249"/>
      <c r="G31" s="249"/>
      <c r="H31" s="267">
        <f>(H20*(1+B5)/(C26-B5))</f>
        <v>392918.03721723158</v>
      </c>
    </row>
    <row r="32" spans="1:20" ht="15.6">
      <c r="B32" s="259" t="s">
        <v>153</v>
      </c>
      <c r="C32" s="250"/>
      <c r="D32" s="250"/>
      <c r="E32" s="250"/>
      <c r="F32" s="250"/>
      <c r="G32" s="250"/>
      <c r="H32" s="262">
        <f>AVERAGE(H30:H31)</f>
        <v>548148.37463404168</v>
      </c>
    </row>
    <row r="33" spans="1:10" ht="15.6">
      <c r="D33" s="250"/>
      <c r="E33" s="250"/>
      <c r="F33" s="250"/>
      <c r="G33" s="250"/>
      <c r="H33" s="250"/>
      <c r="I33" s="250"/>
      <c r="J33" s="250"/>
    </row>
    <row r="34" spans="1:10" ht="15.6">
      <c r="A34" t="s">
        <v>178</v>
      </c>
      <c r="B34" s="273" t="s">
        <v>170</v>
      </c>
      <c r="C34" s="272">
        <f t="shared" ref="C34:H34" si="1">C12</f>
        <v>0</v>
      </c>
      <c r="D34" s="272">
        <f t="shared" si="1"/>
        <v>1</v>
      </c>
      <c r="E34" s="272">
        <f t="shared" si="1"/>
        <v>2</v>
      </c>
      <c r="F34" s="272">
        <f t="shared" si="1"/>
        <v>3</v>
      </c>
      <c r="G34" s="272">
        <f t="shared" si="1"/>
        <v>4</v>
      </c>
      <c r="H34" s="272">
        <f t="shared" si="1"/>
        <v>5</v>
      </c>
    </row>
    <row r="35" spans="1:10" ht="15.6">
      <c r="B35" s="271" t="s">
        <v>169</v>
      </c>
      <c r="C35" s="74"/>
      <c r="D35" s="265">
        <f>1/(1+$C$26)^D34</f>
        <v>0.92053670075097827</v>
      </c>
      <c r="E35" s="265">
        <f>1/(1+$C$26)^E34</f>
        <v>0.8473878174294962</v>
      </c>
      <c r="F35" s="265">
        <f>1/(1+$C$26)^F34</f>
        <v>0.78005158571312072</v>
      </c>
      <c r="G35" s="265">
        <f>1/(1+$C$26)^G34</f>
        <v>0.71806611312792512</v>
      </c>
      <c r="H35" s="265">
        <f>1/(1+$C$26)^H34</f>
        <v>0.66100621069985888</v>
      </c>
    </row>
    <row r="36" spans="1:10" ht="15.6">
      <c r="B36" s="271" t="s">
        <v>168</v>
      </c>
      <c r="C36" s="74"/>
      <c r="D36" s="262">
        <f>D20*D35</f>
        <v>9961.5935684774176</v>
      </c>
      <c r="E36" s="262">
        <f t="shared" ref="E36:H36" si="2">E20*E35</f>
        <v>9706.6206777653915</v>
      </c>
      <c r="F36" s="262">
        <f t="shared" si="2"/>
        <v>9458.7352697222232</v>
      </c>
      <c r="G36" s="262">
        <f t="shared" si="2"/>
        <v>9218.1561440226906</v>
      </c>
      <c r="H36" s="262">
        <f t="shared" si="2"/>
        <v>8984.573067631527</v>
      </c>
    </row>
    <row r="37" spans="1:10" ht="16.2" thickBot="1">
      <c r="B37" s="270" t="s">
        <v>167</v>
      </c>
      <c r="C37" s="269"/>
      <c r="D37" s="74"/>
      <c r="E37" s="74"/>
      <c r="F37" s="74"/>
      <c r="G37" s="74"/>
      <c r="H37" s="262">
        <f>H32*H35</f>
        <v>362329.48001813452</v>
      </c>
    </row>
    <row r="38" spans="1:10" ht="15.6">
      <c r="B38" s="268" t="s">
        <v>162</v>
      </c>
      <c r="C38" s="262">
        <f>SUM(D36:H37)</f>
        <v>409659.15874575375</v>
      </c>
      <c r="D38" s="74"/>
      <c r="E38" s="74"/>
      <c r="F38" s="74"/>
      <c r="G38" s="74"/>
      <c r="H38" s="74"/>
    </row>
    <row r="39" spans="1:10" ht="15.6">
      <c r="E39" s="250"/>
      <c r="F39" s="250"/>
      <c r="G39" s="250"/>
      <c r="H39" s="250"/>
      <c r="I39" s="250"/>
      <c r="J39" s="250"/>
    </row>
    <row r="40" spans="1:10" ht="15.6">
      <c r="F40" s="250"/>
      <c r="G40" s="250"/>
      <c r="H40" s="250"/>
      <c r="I40" s="250"/>
      <c r="J40" s="250"/>
    </row>
    <row r="41" spans="1:10" ht="15.6">
      <c r="A41" t="s">
        <v>179</v>
      </c>
      <c r="B41" s="256" t="s">
        <v>154</v>
      </c>
      <c r="C41" s="260"/>
      <c r="F41" s="250"/>
      <c r="G41" s="250"/>
      <c r="H41" s="250"/>
      <c r="I41" s="250"/>
      <c r="J41" s="250"/>
    </row>
    <row r="42" spans="1:10" ht="15.6">
      <c r="B42" s="251" t="s">
        <v>92</v>
      </c>
      <c r="C42" s="252">
        <f>'HUL BS'!G5</f>
        <v>9049</v>
      </c>
      <c r="F42" s="250"/>
      <c r="G42" s="250"/>
      <c r="H42" s="250"/>
      <c r="I42" s="250"/>
      <c r="J42" s="250"/>
    </row>
    <row r="43" spans="1:10" ht="15.6">
      <c r="B43" s="251" t="s">
        <v>155</v>
      </c>
      <c r="C43" s="252">
        <v>0</v>
      </c>
      <c r="F43" s="250"/>
      <c r="G43" s="250"/>
      <c r="H43" s="250"/>
      <c r="I43" s="250"/>
      <c r="J43" s="250"/>
    </row>
    <row r="44" spans="1:10" ht="15.6">
      <c r="B44" s="251" t="s">
        <v>156</v>
      </c>
      <c r="C44" s="252">
        <v>0</v>
      </c>
      <c r="F44" s="250"/>
      <c r="G44" s="250"/>
      <c r="H44" s="250"/>
      <c r="I44" s="250"/>
      <c r="J44" s="250"/>
    </row>
    <row r="45" spans="1:10" ht="16.2" thickBot="1">
      <c r="B45" s="248" t="s">
        <v>157</v>
      </c>
      <c r="C45" s="258">
        <f>'HUL BS'!G23</f>
        <v>11325</v>
      </c>
      <c r="F45" s="250"/>
      <c r="G45" s="250"/>
      <c r="H45" s="250"/>
      <c r="I45" s="250"/>
      <c r="J45" s="250"/>
    </row>
    <row r="46" spans="1:10" ht="15.6">
      <c r="B46" s="259" t="s">
        <v>158</v>
      </c>
      <c r="C46" s="262">
        <f>C38+C42+C43-C44-C45</f>
        <v>407383.15874575375</v>
      </c>
      <c r="F46" s="250"/>
      <c r="G46" s="250"/>
      <c r="H46" s="250"/>
      <c r="I46" s="250"/>
      <c r="J46" s="250"/>
    </row>
    <row r="47" spans="1:10" ht="15.6">
      <c r="B47" s="250"/>
      <c r="C47" s="250"/>
      <c r="F47" s="250"/>
      <c r="G47" s="250"/>
      <c r="H47" s="250"/>
      <c r="I47" s="250"/>
      <c r="J47" s="250"/>
    </row>
    <row r="48" spans="1:10" ht="16.2" thickBot="1">
      <c r="B48" s="248" t="s">
        <v>159</v>
      </c>
      <c r="C48" s="257">
        <f>'HUL BS'!H27</f>
        <v>235</v>
      </c>
      <c r="F48" s="250"/>
      <c r="G48" s="250"/>
      <c r="H48" s="250"/>
      <c r="I48" s="250"/>
      <c r="J48" s="250"/>
    </row>
    <row r="49" spans="2:4" ht="15.6">
      <c r="B49" s="259" t="s">
        <v>160</v>
      </c>
      <c r="C49" s="262">
        <f>C46/C48</f>
        <v>1733.5453563649096</v>
      </c>
    </row>
    <row r="50" spans="2:4">
      <c r="D50" s="312"/>
    </row>
    <row r="51" spans="2:4" ht="15.6">
      <c r="B51" s="310" t="s">
        <v>172</v>
      </c>
      <c r="C51" s="308">
        <f>'Data Sheet'!B8</f>
        <v>1975</v>
      </c>
    </row>
  </sheetData>
  <mergeCells count="9">
    <mergeCell ref="A1:G1"/>
    <mergeCell ref="A2:G2"/>
    <mergeCell ref="K18:L18"/>
    <mergeCell ref="N14:T21"/>
    <mergeCell ref="K2:P2"/>
    <mergeCell ref="K12:P12"/>
    <mergeCell ref="K13:L13"/>
    <mergeCell ref="K6:K9"/>
    <mergeCell ref="M4:P4"/>
  </mergeCells>
  <dataValidations count="2">
    <dataValidation type="list" allowBlank="1" showInputMessage="1" showErrorMessage="1" sqref="B5" xr:uid="{0CC1D060-AD5D-4DDD-B14A-755186BD43DF}">
      <formula1>$L$14:$L$16</formula1>
    </dataValidation>
    <dataValidation type="list" allowBlank="1" showInputMessage="1" showErrorMessage="1" sqref="B6" xr:uid="{F310DC51-7425-44B1-A112-49C41596D000}">
      <formula1>$L$19:$L$21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A365-93F2-452F-86C1-0DD5B8047865}">
  <sheetPr codeName="Sheet7">
    <tabColor rgb="FFFF0000"/>
  </sheetPr>
  <dimension ref="A1:M26"/>
  <sheetViews>
    <sheetView showGridLines="0" workbookViewId="0">
      <selection activeCell="C15" sqref="C15"/>
    </sheetView>
  </sheetViews>
  <sheetFormatPr defaultRowHeight="14.4"/>
  <cols>
    <col min="1" max="1" width="19.6640625" bestFit="1" customWidth="1"/>
    <col min="2" max="2" width="16.21875" customWidth="1"/>
    <col min="3" max="12" width="10.88671875" bestFit="1" customWidth="1"/>
  </cols>
  <sheetData>
    <row r="1" spans="1:13" ht="18">
      <c r="A1" s="195" t="s">
        <v>221</v>
      </c>
      <c r="B1" s="195"/>
      <c r="C1" s="68" t="s">
        <v>2</v>
      </c>
      <c r="D1" s="68" t="s">
        <v>2</v>
      </c>
      <c r="E1" s="68" t="s">
        <v>2</v>
      </c>
      <c r="F1" s="68" t="s">
        <v>2</v>
      </c>
      <c r="G1" s="68" t="s">
        <v>2</v>
      </c>
      <c r="H1" s="68" t="s">
        <v>3</v>
      </c>
      <c r="I1" s="68" t="s">
        <v>3</v>
      </c>
      <c r="J1" s="68" t="s">
        <v>3</v>
      </c>
      <c r="K1" s="68" t="s">
        <v>3</v>
      </c>
      <c r="L1" s="68" t="s">
        <v>3</v>
      </c>
    </row>
    <row r="2" spans="1:13">
      <c r="C2" s="12">
        <v>2021</v>
      </c>
      <c r="D2" s="12">
        <v>2022</v>
      </c>
      <c r="E2" s="13">
        <v>2023</v>
      </c>
      <c r="F2" s="13">
        <v>2024</v>
      </c>
      <c r="G2" s="14">
        <v>2025</v>
      </c>
      <c r="H2" s="15">
        <v>2026</v>
      </c>
      <c r="I2" s="15">
        <v>2027</v>
      </c>
      <c r="J2" s="15">
        <v>2028</v>
      </c>
      <c r="K2" s="15">
        <v>2029</v>
      </c>
      <c r="L2" s="15">
        <v>2030</v>
      </c>
    </row>
    <row r="3" spans="1:13">
      <c r="A3" s="382" t="s">
        <v>222</v>
      </c>
      <c r="B3" s="194"/>
    </row>
    <row r="4" spans="1:13" ht="39.6" customHeight="1">
      <c r="A4" s="384" t="s">
        <v>223</v>
      </c>
      <c r="C4" s="383">
        <f>'HUL BS'!C9/'HUL BS'!C20</f>
        <v>2.6066340633638103</v>
      </c>
      <c r="D4" s="383">
        <f>'HUL BS'!D9/'HUL BS'!D20</f>
        <v>2.6993326978074355</v>
      </c>
      <c r="E4" s="383">
        <f>'HUL BS'!E9/'HUL BS'!E20</f>
        <v>2.4775503466490592</v>
      </c>
      <c r="F4" s="383">
        <f>'HUL BS'!F9/'HUL BS'!F20</f>
        <v>2.4214862681744749</v>
      </c>
      <c r="G4" s="383">
        <f>'HUL BS'!G9/'HUL BS'!G20</f>
        <v>2.4752975705201368</v>
      </c>
      <c r="H4" s="383">
        <f>'HUL BS'!H9/'HUL BS'!H20</f>
        <v>2.471869923522882</v>
      </c>
      <c r="I4" s="383">
        <f>'HUL BS'!I9/'HUL BS'!I20</f>
        <v>2.459636498502801</v>
      </c>
      <c r="J4" s="383">
        <f>'HUL BS'!J9/'HUL BS'!J20</f>
        <v>2.4398591662342497</v>
      </c>
      <c r="K4" s="383">
        <f>'HUL BS'!K9/'HUL BS'!K20</f>
        <v>2.4136254035877283</v>
      </c>
      <c r="L4" s="383">
        <f>'HUL BS'!L9/'HUL BS'!L20</f>
        <v>2.381908170463257</v>
      </c>
      <c r="M4" s="384"/>
    </row>
    <row r="5" spans="1:13" ht="40.799999999999997" customHeight="1">
      <c r="A5" s="384" t="s">
        <v>224</v>
      </c>
      <c r="C5" s="383">
        <f>('HUL BS'!C5+'HUL BS'!C6)/'HUL BS'!C20</f>
        <v>2.1067403784818199</v>
      </c>
      <c r="D5" s="383">
        <f>('HUL BS'!D5+'HUL BS'!D6)/'HUL BS'!D20</f>
        <v>2.1994280266920878</v>
      </c>
      <c r="E5" s="383">
        <f>('HUL BS'!E5+'HUL BS'!E6)/'HUL BS'!E20</f>
        <v>1.9775503466490592</v>
      </c>
      <c r="F5" s="383">
        <f>('HUL BS'!F5+'HUL BS'!F6)/'HUL BS'!F20</f>
        <v>1.9214862681744749</v>
      </c>
      <c r="G5" s="383">
        <f>('HUL BS'!G5+'HUL BS'!G6)/'HUL BS'!G20</f>
        <v>1.9753790966900375</v>
      </c>
      <c r="H5" s="383">
        <f>('HUL BS'!H5+'HUL BS'!H6)/'HUL BS'!H20</f>
        <v>1.9719351465857569</v>
      </c>
      <c r="I5" s="383">
        <f>('HUL BS'!I5+'HUL BS'!I6)/'HUL BS'!I20</f>
        <v>1.959701721565676</v>
      </c>
      <c r="J5" s="383">
        <f>('HUL BS'!J5+'HUL BS'!J6)/'HUL BS'!J20</f>
        <v>1.939924389297125</v>
      </c>
      <c r="K5" s="383">
        <f>('HUL BS'!K5+'HUL BS'!K6)/'HUL BS'!K20</f>
        <v>1.9136906266506035</v>
      </c>
      <c r="L5" s="383">
        <f>('HUL BS'!L5+'HUL BS'!L6)/'HUL BS'!L20</f>
        <v>1.881973393526132</v>
      </c>
      <c r="M5" s="384"/>
    </row>
    <row r="6" spans="1:13">
      <c r="M6" s="384"/>
    </row>
    <row r="7" spans="1:13">
      <c r="A7" s="382" t="s">
        <v>225</v>
      </c>
      <c r="B7" s="194"/>
      <c r="M7" s="384"/>
    </row>
    <row r="8" spans="1:13" ht="37.200000000000003" customHeight="1">
      <c r="A8" s="384" t="s">
        <v>226</v>
      </c>
      <c r="C8" s="317">
        <f>'HUL IS'!C38/'HUL IS'!C8</f>
        <v>0.17011142298205326</v>
      </c>
      <c r="D8" s="317">
        <f>'HUL IS'!D38/'HUL IS'!D8</f>
        <v>0.16945048240094573</v>
      </c>
      <c r="E8" s="317">
        <f>'HUL IS'!E38/'HUL IS'!E8</f>
        <v>0.16743149554308354</v>
      </c>
      <c r="F8" s="317">
        <f>'HUL IS'!F38/'HUL IS'!F8</f>
        <v>0.16611735814915343</v>
      </c>
      <c r="G8" s="317">
        <f>'HUL IS'!G38/'HUL IS'!G8</f>
        <v>0.15229585181320116</v>
      </c>
      <c r="H8" s="317">
        <f>'HUL IS'!H38/'HUL IS'!H8</f>
        <v>0.17107829398003435</v>
      </c>
      <c r="I8" s="317">
        <f>'HUL IS'!I38/'HUL IS'!I8</f>
        <v>0.17180432700993722</v>
      </c>
      <c r="J8" s="317">
        <f>'HUL IS'!J38/'HUL IS'!J8</f>
        <v>0.17247214041008377</v>
      </c>
      <c r="K8" s="317">
        <f>'HUL IS'!K38/'HUL IS'!K8</f>
        <v>0.17308640273569023</v>
      </c>
      <c r="L8" s="317">
        <f>'HUL IS'!L38/'HUL IS'!L8</f>
        <v>0.17365140817669628</v>
      </c>
      <c r="M8" s="384"/>
    </row>
    <row r="9" spans="1:13" ht="36" customHeight="1">
      <c r="A9" s="384" t="s">
        <v>227</v>
      </c>
      <c r="C9" s="317">
        <f>'HUL IS'!C14/'HUL IS'!C8</f>
        <v>0.5</v>
      </c>
      <c r="D9" s="317">
        <f>'HUL IS'!D14/'HUL IS'!D8</f>
        <v>0.5</v>
      </c>
      <c r="E9" s="317">
        <f>'HUL IS'!E14/'HUL IS'!E8</f>
        <v>0.5</v>
      </c>
      <c r="F9" s="317">
        <f>'HUL IS'!F14/'HUL IS'!F8</f>
        <v>0.5</v>
      </c>
      <c r="G9" s="317">
        <f>'HUL IS'!G14/'HUL IS'!G8</f>
        <v>0.5</v>
      </c>
      <c r="H9" s="317">
        <f>'HUL IS'!H14/'HUL IS'!H8</f>
        <v>0.5</v>
      </c>
      <c r="I9" s="317">
        <f>'HUL IS'!I14/'HUL IS'!I8</f>
        <v>0.5</v>
      </c>
      <c r="J9" s="317">
        <f>'HUL IS'!J14/'HUL IS'!J8</f>
        <v>0.5</v>
      </c>
      <c r="K9" s="317">
        <f>'HUL IS'!K14/'HUL IS'!K8</f>
        <v>0.5</v>
      </c>
      <c r="L9" s="317">
        <f>'HUL IS'!L14/'HUL IS'!L8</f>
        <v>0.5</v>
      </c>
      <c r="M9" s="384"/>
    </row>
    <row r="10" spans="1:13" ht="34.799999999999997" customHeight="1">
      <c r="A10" s="384" t="s">
        <v>228</v>
      </c>
      <c r="C10" s="317">
        <f>'HUL IS'!C20/'HUL IS'!C8</f>
        <v>0.24721442544866887</v>
      </c>
      <c r="D10" s="317">
        <f>'HUL IS'!D20/'HUL IS'!D8</f>
        <v>0.24549059985508903</v>
      </c>
      <c r="E10" s="317">
        <f>'HUL IS'!E20/'HUL IS'!E8</f>
        <v>0.23354242324199406</v>
      </c>
      <c r="F10" s="317">
        <f>'HUL IS'!F20/'HUL IS'!F8</f>
        <v>0.23689737624402224</v>
      </c>
      <c r="G10" s="317">
        <f>'HUL IS'!G20/'HUL IS'!G8</f>
        <v>0.21292068875554396</v>
      </c>
      <c r="H10" s="317">
        <f>'HUL IS'!H20/'HUL IS'!H8</f>
        <v>0.24</v>
      </c>
      <c r="I10" s="317">
        <f>'HUL IS'!I20/'HUL IS'!I8</f>
        <v>0.23999999999999996</v>
      </c>
      <c r="J10" s="317">
        <f>'HUL IS'!J20/'HUL IS'!J8</f>
        <v>0.23999999999999996</v>
      </c>
      <c r="K10" s="317">
        <f>'HUL IS'!K20/'HUL IS'!K8</f>
        <v>0.23999999999999996</v>
      </c>
      <c r="L10" s="317">
        <f>'HUL IS'!L20/'HUL IS'!L8</f>
        <v>0.24000000000000002</v>
      </c>
      <c r="M10" s="384"/>
    </row>
    <row r="11" spans="1:13" ht="33" customHeight="1">
      <c r="A11" s="384" t="s">
        <v>229</v>
      </c>
      <c r="C11" s="317">
        <f>'HUL IS'!C28/('HUL BS'!C14-'HUL BS'!C20)</f>
        <v>0.18174884320073223</v>
      </c>
      <c r="D11" s="317">
        <f>'HUL IS'!D28/('HUL BS'!D14-'HUL BS'!D20)</f>
        <v>0.1989699599244858</v>
      </c>
      <c r="E11" s="317">
        <f>'HUL IS'!E28/('HUL BS'!E14-'HUL BS'!E20)</f>
        <v>0.21939346736114493</v>
      </c>
      <c r="F11" s="317">
        <f>'HUL IS'!F28/('HUL BS'!F14-'HUL BS'!F20)</f>
        <v>0.23027357178261357</v>
      </c>
      <c r="G11" s="317">
        <f>'HUL IS'!G28/('HUL BS'!G14-'HUL BS'!G20)</f>
        <v>0.20980389063313507</v>
      </c>
      <c r="H11" s="317">
        <f>'HUL IS'!H28/('HUL BS'!H14-'HUL BS'!H20)</f>
        <v>0.23596480803741987</v>
      </c>
      <c r="I11" s="317">
        <f>'HUL IS'!I28/('HUL BS'!I14-'HUL BS'!I20)</f>
        <v>0.24662984463397569</v>
      </c>
      <c r="J11" s="317">
        <f>'HUL IS'!J28/('HUL BS'!J14-'HUL BS'!J20)</f>
        <v>0.25747920248855743</v>
      </c>
      <c r="K11" s="317">
        <f>'HUL IS'!K28/('HUL BS'!K14-'HUL BS'!K20)</f>
        <v>0.26849986758091082</v>
      </c>
      <c r="L11" s="317">
        <f>'HUL IS'!L28/('HUL BS'!L14-'HUL BS'!L20)</f>
        <v>0.27967772383306799</v>
      </c>
      <c r="M11" s="384"/>
    </row>
    <row r="12" spans="1:13">
      <c r="M12" s="384"/>
    </row>
    <row r="13" spans="1:13">
      <c r="A13" s="382" t="s">
        <v>230</v>
      </c>
      <c r="B13" s="194"/>
      <c r="M13" s="384"/>
    </row>
    <row r="14" spans="1:13" ht="56.4" customHeight="1">
      <c r="A14" s="384" t="s">
        <v>231</v>
      </c>
      <c r="C14" s="312">
        <f>'HUL BS'!C23/('HUL BS'!C14-'HUL BS'!C25)</f>
        <v>0.23755086630028946</v>
      </c>
      <c r="D14" s="312">
        <f>'HUL BS'!D23/('HUL BS'!D14-'HUL BS'!D25)</f>
        <v>0.23083508285603635</v>
      </c>
      <c r="E14" s="312">
        <f>'HUL BS'!E23/('HUL BS'!E14-'HUL BS'!E25)</f>
        <v>0.22513120229007633</v>
      </c>
      <c r="F14" s="312">
        <f>'HUL BS'!F23/('HUL BS'!F14-'HUL BS'!F25)</f>
        <v>0.22111367097504783</v>
      </c>
      <c r="G14" s="312">
        <f>'HUL BS'!G23/('HUL BS'!G14-'HUL BS'!G25)</f>
        <v>0.21754581428406777</v>
      </c>
      <c r="H14" s="312">
        <f>'HUL BS'!H23/('HUL BS'!H14-'HUL BS'!H25)</f>
        <v>0.21299548837588819</v>
      </c>
      <c r="I14" s="312">
        <f>'HUL BS'!I23/('HUL BS'!I14-'HUL BS'!I25)</f>
        <v>0.2083562848184885</v>
      </c>
      <c r="J14" s="312">
        <f>'HUL BS'!J23/('HUL BS'!J14-'HUL BS'!J25)</f>
        <v>0.20363653005824778</v>
      </c>
      <c r="K14" s="312">
        <f>'HUL BS'!K23/('HUL BS'!K14-'HUL BS'!K25)</f>
        <v>0.19884496605792457</v>
      </c>
      <c r="L14" s="312">
        <f>'HUL BS'!L23/('HUL BS'!L14-'HUL BS'!L25)</f>
        <v>0.1939906982321459</v>
      </c>
      <c r="M14" s="384"/>
    </row>
    <row r="15" spans="1:13" ht="54.6" customHeight="1">
      <c r="A15" s="384" t="s">
        <v>232</v>
      </c>
      <c r="C15" s="312">
        <f>'HUL IS'!C28/(-'HUL IS'!C30)</f>
        <v>91.649572649572647</v>
      </c>
      <c r="D15" s="312">
        <f>'HUL IS'!D28/(-'HUL IS'!D30)</f>
        <v>113.34905660377359</v>
      </c>
      <c r="E15" s="312">
        <f>'HUL IS'!E28/(-'HUL IS'!E30)</f>
        <v>118.60526315789474</v>
      </c>
      <c r="F15" s="312">
        <f>'HUL IS'!F28/(-'HUL IS'!F30)</f>
        <v>43.119760479041915</v>
      </c>
      <c r="G15" s="312">
        <f>'HUL IS'!G28/(-'HUL IS'!G30)</f>
        <v>33.665822784810125</v>
      </c>
      <c r="H15" s="312">
        <f>'HUL IS'!H28/(-'HUL IS'!H30)</f>
        <v>39.017398662229851</v>
      </c>
      <c r="I15" s="312">
        <f>'HUL IS'!I28/(-'HUL IS'!I30)</f>
        <v>39.178739335541607</v>
      </c>
      <c r="J15" s="312">
        <f>'HUL IS'!J28/(-'HUL IS'!J30)</f>
        <v>39.327142313351949</v>
      </c>
      <c r="K15" s="312">
        <f>'HUL IS'!K28/(-'HUL IS'!K30)</f>
        <v>39.463645052375618</v>
      </c>
      <c r="L15" s="312">
        <f>'HUL IS'!L28/(-'HUL IS'!L30)</f>
        <v>39.589201817043616</v>
      </c>
      <c r="M15" s="384"/>
    </row>
    <row r="17" spans="1:12">
      <c r="A17" s="382" t="s">
        <v>233</v>
      </c>
      <c r="B17" s="194"/>
    </row>
    <row r="18" spans="1:12" ht="49.8" customHeight="1">
      <c r="A18" s="384" t="s">
        <v>234</v>
      </c>
      <c r="C18">
        <f>-'HUL IS'!C11/'HUL BS'!C7</f>
        <v>10.001701403658018</v>
      </c>
      <c r="D18">
        <f>-'HUL IS'!D11/(('HUL BS'!D7+'HUL BS'!C7)/2)</f>
        <v>10.546149205710838</v>
      </c>
      <c r="E18">
        <f>-'HUL IS'!E11/(('HUL BS'!E7+'HUL BS'!D7)/2)</f>
        <v>10.720226508582552</v>
      </c>
      <c r="F18">
        <f>-'HUL IS'!F11/(('HUL BS'!F7+'HUL BS'!E7)/2)</f>
        <v>10.107119529719137</v>
      </c>
      <c r="G18">
        <f>-'HUL IS'!G11/(('HUL BS'!G7+'HUL BS'!F7)/2)</f>
        <v>9.9542282097062174</v>
      </c>
      <c r="H18">
        <f>-'HUL IS'!H11/(('HUL BS'!H7+'HUL BS'!G7)/2)</f>
        <v>10.292604766337975</v>
      </c>
      <c r="I18">
        <f>-'HUL IS'!I11/(('HUL BS'!I7+'HUL BS'!H7)/2)</f>
        <v>10.292604766337977</v>
      </c>
      <c r="J18">
        <f>-'HUL IS'!J11/(('HUL BS'!J7+'HUL BS'!I7)/2)</f>
        <v>10.292604766337977</v>
      </c>
      <c r="K18">
        <f>-'HUL IS'!K11/(('HUL BS'!K7+'HUL BS'!J7)/2)</f>
        <v>10.292604766337977</v>
      </c>
      <c r="L18">
        <f>-'HUL IS'!L11/(('HUL BS'!L7+'HUL BS'!K7)/2)</f>
        <v>10.292604766337977</v>
      </c>
    </row>
    <row r="19" spans="1:12" ht="45" customHeight="1">
      <c r="A19" s="384" t="s">
        <v>235</v>
      </c>
      <c r="C19">
        <f>'HUL IS'!C8/('HUL BS'!C6)</f>
        <v>20.003402807316036</v>
      </c>
      <c r="D19">
        <f>'HUL IS'!D8/(('HUL BS'!D6+'HUL BS'!C6)/2)</f>
        <v>21.092298411421677</v>
      </c>
      <c r="E19">
        <f>'HUL IS'!E8/(('HUL BS'!E6+'HUL BS'!D6)/2)</f>
        <v>21.440453017165105</v>
      </c>
      <c r="F19">
        <f>'HUL IS'!F8/(('HUL BS'!F6+'HUL BS'!E6)/2)</f>
        <v>20.214239059438274</v>
      </c>
      <c r="G19">
        <f>'HUL IS'!G8/(('HUL BS'!G6+'HUL BS'!F6)/2)</f>
        <v>19.908456419412435</v>
      </c>
      <c r="H19">
        <f>'HUL IS'!H8/(('HUL BS'!H6+'HUL BS'!G6)/2)</f>
        <v>20.583827709018326</v>
      </c>
      <c r="I19">
        <f>'HUL IS'!I8/(('HUL BS'!I6+'HUL BS'!H6)/2)</f>
        <v>20.582524271844658</v>
      </c>
      <c r="J19">
        <f>'HUL IS'!J8/(('HUL BS'!J6+'HUL BS'!I6)/2)</f>
        <v>20.582524271844662</v>
      </c>
      <c r="K19">
        <f>'HUL IS'!K8/(('HUL BS'!K6+'HUL BS'!J6)/2)</f>
        <v>20.582524271844662</v>
      </c>
      <c r="L19">
        <f>'HUL IS'!L8/(('HUL BS'!L6+'HUL BS'!K6)/2)</f>
        <v>20.582524271844662</v>
      </c>
    </row>
    <row r="20" spans="1:12" ht="52.2" customHeight="1">
      <c r="A20" s="384" t="s">
        <v>236</v>
      </c>
      <c r="C20">
        <f>'HUL IS'!C8/('HUL BS'!C12)</f>
        <v>0.91417685593763975</v>
      </c>
      <c r="D20">
        <f>'HUL IS'!C8/(('HUL BS'!D12+'HUL BS'!C12)/2)</f>
        <v>0.91391037350849236</v>
      </c>
      <c r="E20">
        <f>'HUL IS'!D8/(('HUL BS'!E12+'HUL BS'!D12)/2)</f>
        <v>1.0071146700463749</v>
      </c>
      <c r="F20">
        <f>'HUL IS'!E8/(('HUL BS'!F12+'HUL BS'!E12)/2)</f>
        <v>1.138486403187311</v>
      </c>
      <c r="G20">
        <f>'HUL IS'!F8/(('HUL BS'!G12+'HUL BS'!F12)/2)</f>
        <v>1.145384394748286</v>
      </c>
      <c r="H20">
        <f>'HUL IS'!G8/(('HUL BS'!H12+'HUL BS'!G12)/2)</f>
        <v>1.1225875631615898</v>
      </c>
      <c r="I20">
        <f>'HUL IS'!H8/(('HUL BS'!I12+'HUL BS'!H12)/2)</f>
        <v>1.1761010100806042</v>
      </c>
      <c r="J20">
        <f>'HUL IS'!I8/(('HUL BS'!J12+'HUL BS'!I12)/2)</f>
        <v>1.2300345284359568</v>
      </c>
      <c r="K20">
        <f>'HUL IS'!J8/(('HUL BS'!K12+'HUL BS'!J12)/2)</f>
        <v>1.284202997196535</v>
      </c>
      <c r="L20">
        <f>'HUL IS'!K8/(('HUL BS'!L12+'HUL BS'!K12)/2)</f>
        <v>1.3384180378483175</v>
      </c>
    </row>
    <row r="23" spans="1:12" ht="33" customHeight="1">
      <c r="A23" t="s">
        <v>237</v>
      </c>
      <c r="C23" s="385">
        <f>'HUL IS'!C38/'HUL BS'!C27</f>
        <v>34.042553191489361</v>
      </c>
      <c r="D23" s="385">
        <f>'HUL IS'!D38/'HUL BS'!D27</f>
        <v>37.817021276595746</v>
      </c>
      <c r="E23" s="385">
        <f>'HUL IS'!E38/'HUL BS'!E27</f>
        <v>43.161702127659574</v>
      </c>
      <c r="F23" s="385">
        <f>'HUL IS'!F38/'HUL BS'!F27</f>
        <v>43.753191489361704</v>
      </c>
      <c r="G23" s="385">
        <f>'HUL IS'!G38/'HUL BS'!G27</f>
        <v>39.744680851063826</v>
      </c>
      <c r="H23" s="385">
        <f>'HUL IS'!H38/'HUL BS'!H27</f>
        <v>47.325119106382971</v>
      </c>
      <c r="I23" s="385">
        <f>'HUL IS'!I38/'HUL BS'!I27</f>
        <v>50.377518109148923</v>
      </c>
      <c r="J23" s="385">
        <f>'HUL IS'!J38/'HUL BS'!J27</f>
        <v>53.607738755671264</v>
      </c>
      <c r="K23" s="385">
        <f>'HUL IS'!K38/'HUL BS'!K27</f>
        <v>57.026583401985611</v>
      </c>
      <c r="L23" s="385">
        <f>'HUL IS'!L38/'HUL BS'!L27</f>
        <v>60.645499219054493</v>
      </c>
    </row>
    <row r="24" spans="1:12">
      <c r="A24" t="s">
        <v>238</v>
      </c>
      <c r="H24" s="386">
        <f>'Data Sheet'!B8/'Ratio Analysis'!H23</f>
        <v>41.732594387356166</v>
      </c>
    </row>
    <row r="26" spans="1:12">
      <c r="A26" t="s">
        <v>239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markers="1" high="1" low="1" first="1" last="1" negative="1" xr2:uid="{F31B711A-E77A-4EBF-9203-28EC87A8D527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Analysis'!C4:L4</xm:f>
              <xm:sqref>M4</xm:sqref>
            </x14:sparkline>
            <x14:sparkline>
              <xm:f>'Ratio Analysis'!C5:L5</xm:f>
              <xm:sqref>M5</xm:sqref>
            </x14:sparkline>
          </x14:sparklines>
        </x14:sparklineGroup>
        <x14:sparklineGroup displayEmptyCellsAs="span" markers="1" xr2:uid="{810BE4B3-9135-4FBE-8B92-647EE892B99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Analysis'!C8:L8</xm:f>
              <xm:sqref>M8</xm:sqref>
            </x14:sparkline>
            <x14:sparkline>
              <xm:f>'Ratio Analysis'!C9:L9</xm:f>
              <xm:sqref>M9</xm:sqref>
            </x14:sparkline>
            <x14:sparkline>
              <xm:f>'Ratio Analysis'!C10:L10</xm:f>
              <xm:sqref>M10</xm:sqref>
            </x14:sparkline>
          </x14:sparklines>
        </x14:sparklineGroup>
        <x14:sparklineGroup displayEmptyCellsAs="span" markers="1" xr2:uid="{B998F635-D51E-4355-BAE5-DC25A7BBAF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</x14:sparklines>
        </x14:sparklineGroup>
        <x14:sparklineGroup displayEmptyCellsAs="span" markers="1" xr2:uid="{5B280675-C870-4FBB-9C0B-A8C705268A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span" markers="1" xr2:uid="{DAF7D5A2-020F-4221-AFF4-98ABDEA918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</x14:sparklines>
        </x14:sparklineGroup>
        <x14:sparklineGroup displayEmptyCellsAs="span" markers="1" xr2:uid="{EAD1BF05-6852-41CF-B9DB-B01B76EC53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Analysis'!C23:L23</xm:f>
              <xm:sqref>M23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EC75-5DF2-47A6-ADBD-B5D700B97AF2}">
  <sheetPr codeName="Sheet8">
    <tabColor rgb="FFFF0000"/>
  </sheetPr>
  <dimension ref="A1:Z1000"/>
  <sheetViews>
    <sheetView showGridLines="0" zoomScale="43" workbookViewId="0">
      <selection activeCell="G16" sqref="G16"/>
    </sheetView>
  </sheetViews>
  <sheetFormatPr defaultRowHeight="14.4"/>
  <cols>
    <col min="1" max="1" width="26.44140625" style="329" bestFit="1" customWidth="1"/>
    <col min="2" max="2" width="47" style="329" bestFit="1" customWidth="1"/>
    <col min="3" max="3" width="13" style="329" bestFit="1" customWidth="1"/>
    <col min="4" max="4" width="26.33203125" style="329" bestFit="1" customWidth="1"/>
    <col min="5" max="5" width="23" style="329" bestFit="1" customWidth="1"/>
    <col min="6" max="6" width="19.44140625" style="329" bestFit="1" customWidth="1"/>
    <col min="7" max="7" width="27.6640625" style="329" bestFit="1" customWidth="1"/>
    <col min="8" max="8" width="26.5546875" style="329" bestFit="1" customWidth="1"/>
    <col min="9" max="9" width="19.109375" style="329" bestFit="1" customWidth="1"/>
    <col min="10" max="10" width="17.77734375" style="329" bestFit="1" customWidth="1"/>
    <col min="11" max="11" width="21.88671875" style="329" bestFit="1" customWidth="1"/>
    <col min="12" max="12" width="20.44140625" style="329" customWidth="1"/>
    <col min="13" max="13" width="16.109375" style="329" bestFit="1" customWidth="1"/>
    <col min="14" max="14" width="16.6640625" style="329" customWidth="1"/>
    <col min="15" max="15" width="14.88671875" style="329" customWidth="1"/>
    <col min="16" max="16" width="15.6640625" style="329" customWidth="1"/>
    <col min="17" max="17" width="8.88671875" style="329"/>
    <col min="18" max="18" width="26.6640625" style="329" customWidth="1"/>
    <col min="19" max="16384" width="8.88671875" style="329"/>
  </cols>
  <sheetData>
    <row r="1" spans="1:26" ht="24" thickBot="1">
      <c r="A1" s="450" t="s">
        <v>188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 spans="1:26" ht="15.6">
      <c r="A2" s="451" t="s">
        <v>190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Q2" s="328"/>
      <c r="R2" s="328"/>
      <c r="S2" s="328"/>
      <c r="T2" s="328"/>
      <c r="U2" s="328"/>
      <c r="V2" s="328"/>
      <c r="W2" s="328"/>
      <c r="X2" s="328"/>
      <c r="Y2" s="328"/>
      <c r="Z2" s="328"/>
    </row>
    <row r="3" spans="1:26" ht="16.2" thickBot="1">
      <c r="A3" s="331"/>
      <c r="B3" s="331"/>
      <c r="C3" s="452" t="s">
        <v>191</v>
      </c>
      <c r="D3" s="452"/>
      <c r="E3" s="452"/>
      <c r="F3" s="452"/>
      <c r="G3" s="452"/>
      <c r="H3" s="331"/>
      <c r="I3" s="452" t="s">
        <v>192</v>
      </c>
      <c r="J3" s="452"/>
      <c r="K3" s="452"/>
      <c r="L3" s="331"/>
      <c r="M3" s="452" t="s">
        <v>193</v>
      </c>
      <c r="N3" s="452"/>
      <c r="O3" s="452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 ht="15.6">
      <c r="A4" s="333" t="s">
        <v>195</v>
      </c>
      <c r="B4" s="331"/>
      <c r="C4" s="334" t="s">
        <v>196</v>
      </c>
      <c r="D4" s="334" t="s">
        <v>220</v>
      </c>
      <c r="E4" s="334" t="s">
        <v>197</v>
      </c>
      <c r="F4" s="334" t="s">
        <v>198</v>
      </c>
      <c r="G4" s="334" t="s">
        <v>199</v>
      </c>
      <c r="H4" s="335"/>
      <c r="I4" s="334" t="s">
        <v>200</v>
      </c>
      <c r="J4" s="334" t="s">
        <v>201</v>
      </c>
      <c r="K4" s="334" t="s">
        <v>202</v>
      </c>
      <c r="L4" s="335"/>
      <c r="M4" s="334" t="s">
        <v>203</v>
      </c>
      <c r="N4" s="334" t="s">
        <v>204</v>
      </c>
      <c r="O4" s="334" t="s">
        <v>205</v>
      </c>
      <c r="Q4" s="328"/>
      <c r="R4" s="328"/>
      <c r="S4" s="328"/>
      <c r="T4" s="328"/>
      <c r="U4" s="328"/>
      <c r="V4" s="328"/>
      <c r="W4" s="328"/>
      <c r="X4" s="328"/>
      <c r="Y4" s="328"/>
      <c r="Z4" s="328"/>
    </row>
    <row r="5" spans="1:26" ht="16.2" thickBot="1">
      <c r="A5" s="336"/>
      <c r="B5" s="336"/>
      <c r="C5" s="337"/>
      <c r="D5" s="337"/>
      <c r="E5" s="337"/>
      <c r="F5" s="363"/>
      <c r="G5" s="337"/>
      <c r="H5" s="337"/>
      <c r="I5" s="337"/>
      <c r="J5" s="337"/>
      <c r="K5" s="337"/>
      <c r="L5" s="337"/>
      <c r="M5" s="337"/>
      <c r="N5" s="337"/>
      <c r="O5" s="337"/>
      <c r="Q5" s="328"/>
      <c r="R5" s="328" t="s">
        <v>189</v>
      </c>
      <c r="S5" s="328"/>
      <c r="T5" s="328"/>
      <c r="U5" s="328"/>
      <c r="V5" s="328"/>
      <c r="W5" s="328"/>
      <c r="X5" s="328"/>
      <c r="Y5" s="328"/>
      <c r="Z5" s="328"/>
    </row>
    <row r="6" spans="1:26" ht="16.2" thickBot="1">
      <c r="A6" s="328" t="s">
        <v>207</v>
      </c>
      <c r="B6" s="338"/>
      <c r="C6" s="339">
        <f>'Data Sheet'!B8</f>
        <v>1975</v>
      </c>
      <c r="D6" s="340">
        <f>'Data Sheet'!G53</f>
        <v>235</v>
      </c>
      <c r="E6" s="341">
        <f>'Data Sheet'!B9</f>
        <v>463997.75</v>
      </c>
      <c r="F6" s="364">
        <f>'HUL BS'!G23-'HUL BS'!G5</f>
        <v>2276</v>
      </c>
      <c r="G6" s="369">
        <f>'DCF Analysis'!E9</f>
        <v>466273.75</v>
      </c>
      <c r="H6" s="341"/>
      <c r="I6" s="365">
        <f>'HUL IS'!H8</f>
        <v>65007.68</v>
      </c>
      <c r="J6" s="366">
        <f>'HUL IS'!H20</f>
        <v>15601.843199999999</v>
      </c>
      <c r="K6" s="366">
        <f>'HUL IS'!H38</f>
        <v>11121.402989999999</v>
      </c>
      <c r="L6" s="338"/>
      <c r="M6" s="338"/>
      <c r="N6" s="338"/>
      <c r="O6" s="367"/>
      <c r="Q6" s="330"/>
      <c r="S6" s="328"/>
      <c r="T6" s="328"/>
      <c r="U6" s="328"/>
      <c r="V6" s="328"/>
      <c r="W6" s="328"/>
      <c r="X6" s="328"/>
      <c r="Y6" s="328"/>
      <c r="Z6" s="328"/>
    </row>
    <row r="7" spans="1:26" ht="15.6">
      <c r="A7" s="329" t="s">
        <v>219</v>
      </c>
      <c r="B7" s="328"/>
      <c r="C7" s="370">
        <v>264</v>
      </c>
      <c r="D7" s="370">
        <v>12530162791</v>
      </c>
      <c r="E7" s="371">
        <v>330473</v>
      </c>
      <c r="F7" s="362">
        <v>-3727</v>
      </c>
      <c r="G7" s="74">
        <f>SUM(E7:F7)</f>
        <v>326746</v>
      </c>
      <c r="H7" s="343"/>
      <c r="I7" s="374">
        <v>75323</v>
      </c>
      <c r="J7" s="368">
        <v>25832</v>
      </c>
      <c r="K7" s="372">
        <v>41943</v>
      </c>
      <c r="L7" s="373"/>
      <c r="M7" s="346">
        <f>G7/I7</f>
        <v>4.3379313091618759</v>
      </c>
      <c r="N7" s="345">
        <f>G7/J7</f>
        <v>12.64888510374729</v>
      </c>
      <c r="O7" s="346">
        <v>16.690000000000001</v>
      </c>
      <c r="Q7" s="332"/>
      <c r="S7" s="328"/>
      <c r="T7" s="328"/>
      <c r="U7" s="328"/>
      <c r="V7" s="328"/>
      <c r="W7" s="328"/>
      <c r="X7" s="328"/>
      <c r="Y7" s="328"/>
      <c r="Z7" s="328"/>
    </row>
    <row r="8" spans="1:26" ht="15.6">
      <c r="A8" s="347" t="s">
        <v>208</v>
      </c>
      <c r="B8" s="328"/>
      <c r="C8" s="342">
        <v>1218.7</v>
      </c>
      <c r="D8" s="342">
        <v>1023000000</v>
      </c>
      <c r="E8" s="342">
        <v>110568</v>
      </c>
      <c r="F8" s="342">
        <v>2500</v>
      </c>
      <c r="G8" s="370">
        <f t="shared" ref="G8:G9" si="0">SUM(E8,F8)</f>
        <v>113068</v>
      </c>
      <c r="H8" s="343"/>
      <c r="I8" s="342">
        <f>14313</f>
        <v>14313</v>
      </c>
      <c r="J8" s="342">
        <v>3256</v>
      </c>
      <c r="K8" s="342">
        <v>1852</v>
      </c>
      <c r="L8" s="328"/>
      <c r="M8" s="344">
        <f>G8/I8</f>
        <v>7.8996716271920633</v>
      </c>
      <c r="N8" s="345">
        <f t="shared" ref="N8:N11" si="1">G8/J8</f>
        <v>34.726044226044223</v>
      </c>
      <c r="O8" s="346">
        <f>C8/18.19</f>
        <v>66.998350742166025</v>
      </c>
      <c r="Q8" s="328"/>
      <c r="S8" s="328"/>
      <c r="T8" s="328"/>
      <c r="U8" s="328"/>
      <c r="V8" s="328"/>
      <c r="W8" s="328"/>
      <c r="X8" s="328"/>
      <c r="Y8" s="328"/>
      <c r="Z8" s="328"/>
    </row>
    <row r="9" spans="1:26" ht="15.6">
      <c r="A9" s="328" t="s">
        <v>209</v>
      </c>
      <c r="B9" s="328"/>
      <c r="C9" s="342">
        <v>2350.5</v>
      </c>
      <c r="D9" s="342">
        <v>272000000</v>
      </c>
      <c r="E9" s="342">
        <v>55246</v>
      </c>
      <c r="F9" s="342">
        <v>-800</v>
      </c>
      <c r="G9" s="370">
        <f t="shared" si="0"/>
        <v>54446</v>
      </c>
      <c r="H9" s="343"/>
      <c r="I9" s="342">
        <v>6179</v>
      </c>
      <c r="J9" s="342">
        <v>2097</v>
      </c>
      <c r="K9" s="342">
        <v>1437</v>
      </c>
      <c r="L9" s="328"/>
      <c r="M9" s="344">
        <f t="shared" ref="M9:M11" si="2">G9/I9</f>
        <v>8.8114581647515777</v>
      </c>
      <c r="N9" s="345">
        <f t="shared" si="1"/>
        <v>25.963757749165474</v>
      </c>
      <c r="O9" s="346">
        <f>C9/49.55</f>
        <v>47.436932391523719</v>
      </c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 spans="1:26" ht="15.6">
      <c r="A10" s="328" t="s">
        <v>210</v>
      </c>
      <c r="B10" s="328"/>
      <c r="C10" s="342">
        <v>535</v>
      </c>
      <c r="D10" s="342">
        <v>17723000000</v>
      </c>
      <c r="E10" s="342">
        <v>73442</v>
      </c>
      <c r="F10" s="342">
        <v>500</v>
      </c>
      <c r="G10" s="370">
        <f>SUM(E10,F10)</f>
        <v>73942</v>
      </c>
      <c r="H10" s="343"/>
      <c r="I10" s="342">
        <v>13113</v>
      </c>
      <c r="J10" s="342">
        <v>2867</v>
      </c>
      <c r="K10" s="342">
        <v>1740</v>
      </c>
      <c r="L10" s="328"/>
      <c r="M10" s="344">
        <f t="shared" si="2"/>
        <v>5.6388316937390375</v>
      </c>
      <c r="N10" s="345">
        <f t="shared" si="1"/>
        <v>25.790722009068713</v>
      </c>
      <c r="O10" s="346">
        <f>C10/10.97</f>
        <v>48.769371011850495</v>
      </c>
      <c r="Q10" s="328"/>
      <c r="R10" s="328"/>
      <c r="S10" s="328"/>
      <c r="T10" s="328"/>
      <c r="U10" s="328"/>
      <c r="V10" s="328"/>
      <c r="W10" s="328"/>
      <c r="X10" s="328"/>
      <c r="Y10" s="328"/>
      <c r="Z10" s="328"/>
    </row>
    <row r="11" spans="1:26" ht="15.6">
      <c r="A11" s="328" t="s">
        <v>211</v>
      </c>
      <c r="B11" s="328"/>
      <c r="C11" s="370">
        <v>6338.5</v>
      </c>
      <c r="D11" s="342">
        <v>16600000</v>
      </c>
      <c r="E11" s="342">
        <v>10106</v>
      </c>
      <c r="F11" s="342">
        <v>-600</v>
      </c>
      <c r="G11" s="370">
        <f>SUM(E11,F11)</f>
        <v>9506</v>
      </c>
      <c r="H11" s="343"/>
      <c r="I11" s="348">
        <v>944.52</v>
      </c>
      <c r="J11" s="348">
        <v>328.74</v>
      </c>
      <c r="K11" s="348">
        <v>234.41</v>
      </c>
      <c r="L11" s="328"/>
      <c r="M11" s="344">
        <f t="shared" si="2"/>
        <v>10.064371320882564</v>
      </c>
      <c r="N11" s="345">
        <f t="shared" si="1"/>
        <v>28.916468942021048</v>
      </c>
      <c r="O11" s="346">
        <f>C11/196.94</f>
        <v>32.184929420127958</v>
      </c>
      <c r="R11" s="328"/>
      <c r="S11" s="328"/>
      <c r="T11" s="328"/>
      <c r="U11" s="328"/>
      <c r="V11" s="328"/>
      <c r="W11" s="328"/>
      <c r="X11" s="328"/>
      <c r="Y11" s="328"/>
      <c r="Z11" s="328"/>
    </row>
    <row r="12" spans="1:26" ht="15.6">
      <c r="A12" s="328"/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R12" s="328"/>
      <c r="S12" s="328"/>
      <c r="T12" s="328"/>
      <c r="U12" s="328"/>
      <c r="V12" s="328"/>
      <c r="W12" s="328"/>
      <c r="X12" s="328"/>
      <c r="Y12" s="328"/>
      <c r="Z12" s="328"/>
    </row>
    <row r="13" spans="1:26" ht="15.6">
      <c r="A13" s="349" t="s">
        <v>153</v>
      </c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1">
        <f>AVERAGE(M7:M11)</f>
        <v>7.3504528231454227</v>
      </c>
      <c r="N13" s="351">
        <f>AVERAGE(N7:N11)</f>
        <v>25.609175606009348</v>
      </c>
      <c r="O13" s="351">
        <f t="shared" ref="O13" si="3">AVERAGE(O7:O11)</f>
        <v>42.41591671313364</v>
      </c>
      <c r="R13" s="328"/>
      <c r="S13" s="328"/>
      <c r="T13" s="328"/>
      <c r="U13" s="328"/>
      <c r="V13" s="328"/>
      <c r="W13" s="328"/>
      <c r="X13" s="328"/>
      <c r="Y13" s="328"/>
      <c r="Z13" s="328"/>
    </row>
    <row r="14" spans="1:26" ht="15.6">
      <c r="A14" s="349" t="s">
        <v>212</v>
      </c>
      <c r="B14" s="350"/>
      <c r="C14" s="350"/>
      <c r="D14" s="350"/>
      <c r="E14" s="350"/>
      <c r="F14" s="350"/>
      <c r="G14" s="352"/>
      <c r="H14" s="350"/>
      <c r="I14" s="350"/>
      <c r="J14" s="350"/>
      <c r="K14" s="350"/>
      <c r="L14" s="350"/>
      <c r="M14" s="351">
        <f>MEDIAN(M7:M11)</f>
        <v>7.8996716271920633</v>
      </c>
      <c r="N14" s="351">
        <f t="shared" ref="N14:O14" si="4">MEDIAN(N7:N11)</f>
        <v>25.963757749165474</v>
      </c>
      <c r="O14" s="351">
        <f t="shared" si="4"/>
        <v>47.436932391523719</v>
      </c>
      <c r="R14" s="328"/>
      <c r="S14" s="328"/>
      <c r="T14" s="328"/>
      <c r="U14" s="328"/>
      <c r="V14" s="328"/>
      <c r="W14" s="328"/>
      <c r="X14" s="328"/>
      <c r="Y14" s="328"/>
      <c r="Z14" s="328"/>
    </row>
    <row r="15" spans="1:26" ht="15.6">
      <c r="A15" s="328"/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 spans="1:26" ht="15.6">
      <c r="A16" s="353" t="s">
        <v>213</v>
      </c>
      <c r="B16" s="331"/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4" t="s">
        <v>203</v>
      </c>
      <c r="N16" s="334" t="s">
        <v>204</v>
      </c>
      <c r="O16" s="334" t="s">
        <v>205</v>
      </c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 spans="1:26" ht="15.6">
      <c r="A17" s="347" t="s">
        <v>214</v>
      </c>
      <c r="B17" s="328"/>
      <c r="C17" s="346"/>
      <c r="D17" s="328"/>
      <c r="E17" s="328"/>
      <c r="F17" s="328"/>
      <c r="G17" s="328"/>
      <c r="H17" s="328"/>
      <c r="I17" s="328"/>
      <c r="J17" s="328"/>
      <c r="K17" s="328"/>
      <c r="L17" s="328"/>
      <c r="M17" s="375">
        <f>I6*M14</f>
        <v>513539.32524558093</v>
      </c>
      <c r="N17" s="346">
        <f>J6*N14</f>
        <v>405082.47728526464</v>
      </c>
      <c r="O17" s="354">
        <f>O14*K6</f>
        <v>527565.24173551972</v>
      </c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 spans="1:26" ht="15.6">
      <c r="A18" s="328" t="s">
        <v>215</v>
      </c>
      <c r="B18" s="328"/>
      <c r="C18" s="332"/>
      <c r="D18" s="328"/>
      <c r="E18" s="328"/>
      <c r="F18" s="328"/>
      <c r="G18" s="328"/>
      <c r="H18" s="328"/>
      <c r="I18" s="328"/>
      <c r="J18" s="328"/>
      <c r="K18" s="328"/>
      <c r="L18" s="328"/>
      <c r="M18" s="344">
        <f>-$F$6</f>
        <v>-2276</v>
      </c>
      <c r="N18" s="344">
        <f>-$F$6</f>
        <v>-2276</v>
      </c>
      <c r="O18" s="344">
        <f>-$F$6</f>
        <v>-2276</v>
      </c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 spans="1:26" ht="15.6">
      <c r="A19" s="347" t="s">
        <v>216</v>
      </c>
      <c r="B19" s="328"/>
      <c r="C19" s="346"/>
      <c r="D19" s="328"/>
      <c r="E19" s="328"/>
      <c r="F19" s="328"/>
      <c r="G19" s="328"/>
      <c r="H19" s="328"/>
      <c r="I19" s="328"/>
      <c r="J19" s="328"/>
      <c r="K19" s="328"/>
      <c r="L19" s="328"/>
      <c r="M19" s="355">
        <f>SUM(M17:M18)</f>
        <v>511263.32524558093</v>
      </c>
      <c r="N19" s="355">
        <f>SUM(N17:N18)</f>
        <v>402806.47728526464</v>
      </c>
      <c r="O19" s="355">
        <f>SUM(O17:O18)</f>
        <v>525289.24173551972</v>
      </c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 spans="1:26" ht="16.2" thickBot="1">
      <c r="A20" s="356" t="s">
        <v>159</v>
      </c>
      <c r="B20" s="357"/>
      <c r="C20" s="358"/>
      <c r="D20" s="357"/>
      <c r="E20" s="357"/>
      <c r="F20" s="357"/>
      <c r="G20" s="357"/>
      <c r="H20" s="357"/>
      <c r="I20" s="357"/>
      <c r="J20" s="357"/>
      <c r="K20" s="357"/>
      <c r="L20" s="357"/>
      <c r="M20" s="359">
        <f>$D$6</f>
        <v>235</v>
      </c>
      <c r="N20" s="359">
        <f t="shared" ref="N20:O20" si="5">$D$6</f>
        <v>235</v>
      </c>
      <c r="O20" s="359">
        <f t="shared" si="5"/>
        <v>235</v>
      </c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 spans="1:26" ht="16.2" thickBot="1">
      <c r="A21" s="360" t="s">
        <v>218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77">
        <f>M19/M20</f>
        <v>2175.5886180663019</v>
      </c>
      <c r="N21" s="377">
        <f t="shared" ref="N21:O21" si="6">N19/N20</f>
        <v>1714.0701161075092</v>
      </c>
      <c r="O21" s="377">
        <f t="shared" si="6"/>
        <v>2235.2733690873179</v>
      </c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spans="1:26" ht="15.6">
      <c r="A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 spans="1:26" ht="15.6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R23" s="328" t="s">
        <v>217</v>
      </c>
      <c r="S23" s="328"/>
      <c r="T23" s="328"/>
      <c r="U23" s="328"/>
      <c r="V23" s="328"/>
      <c r="W23" s="328"/>
      <c r="X23" s="328"/>
      <c r="Y23" s="328"/>
      <c r="Z23" s="328"/>
    </row>
    <row r="24" spans="1:26" ht="15.6"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 spans="1:26" ht="15.6"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 spans="1:26" ht="15.6">
      <c r="Q26" s="328"/>
      <c r="S26" s="328"/>
      <c r="T26" s="328"/>
      <c r="U26" s="328"/>
      <c r="V26" s="328"/>
      <c r="W26" s="328"/>
      <c r="X26" s="328"/>
      <c r="Y26" s="328"/>
      <c r="Z26" s="328"/>
    </row>
    <row r="27" spans="1:26" ht="15.6">
      <c r="A27" s="328"/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76"/>
      <c r="M27" s="328"/>
      <c r="N27" s="328"/>
      <c r="O27" s="328"/>
      <c r="P27" s="328"/>
      <c r="Q27" s="328"/>
      <c r="S27" s="328"/>
      <c r="T27" s="328"/>
      <c r="U27" s="328"/>
      <c r="V27" s="328"/>
      <c r="W27" s="328"/>
      <c r="X27" s="328"/>
      <c r="Y27" s="328"/>
      <c r="Z27" s="328"/>
    </row>
    <row r="28" spans="1:26" ht="15.6">
      <c r="A28" s="328"/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 spans="1:26" ht="15.6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spans="1:26" ht="15.6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</row>
    <row r="31" spans="1:26" ht="15.6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 spans="1:26" ht="15.6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</row>
    <row r="33" spans="1:26" ht="15.6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 spans="1:26" ht="15.6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</row>
    <row r="35" spans="1:26" ht="15.6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 spans="1:26" ht="15.6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</row>
    <row r="37" spans="1:26" ht="15.6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</row>
    <row r="38" spans="1:26" ht="16.2" thickBo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</row>
    <row r="39" spans="1:26" ht="15.6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72"/>
      <c r="M39" s="373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</row>
    <row r="40" spans="1:26" ht="15.6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</row>
    <row r="41" spans="1:26" ht="15.6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</row>
    <row r="42" spans="1:26" ht="15.6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</row>
    <row r="43" spans="1:26" ht="15.6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</row>
    <row r="44" spans="1:26" ht="15.6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</row>
    <row r="45" spans="1:26" ht="15.6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</row>
    <row r="46" spans="1:26" ht="15.6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</row>
    <row r="47" spans="1:26" ht="15.6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</row>
    <row r="48" spans="1:26" ht="15.6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</row>
    <row r="49" spans="1:26" ht="15.6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</row>
    <row r="50" spans="1:26" ht="15.6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</row>
    <row r="51" spans="1:26" ht="15.6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</row>
    <row r="52" spans="1:26" ht="15.6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</row>
    <row r="53" spans="1:26" ht="15.6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</row>
    <row r="54" spans="1:26" ht="15.6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</row>
    <row r="55" spans="1:26" ht="15.6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</row>
    <row r="56" spans="1:26" ht="15.6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</row>
    <row r="57" spans="1:26" ht="15.6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</row>
    <row r="58" spans="1:26" ht="15.6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</row>
    <row r="59" spans="1:26" ht="15.6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</row>
    <row r="60" spans="1:26" ht="15.6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</row>
    <row r="61" spans="1:26" ht="15.6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</row>
    <row r="62" spans="1:26" ht="15.6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</row>
    <row r="63" spans="1:26" ht="15.6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 spans="1:26" ht="15.6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 spans="1:26" ht="15.6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 spans="1:26" ht="15.6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 spans="1:26" ht="15.6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 spans="1:26" ht="15.6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 spans="1:26" ht="15.6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 spans="1:26" ht="15.6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 spans="1:26" ht="15.6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 spans="1:26" ht="15.6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 spans="1:26" ht="15.6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 spans="1:26" ht="15.6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 spans="1:26" ht="15.6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 spans="1:26" ht="15.6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 spans="1:26" ht="15.6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 spans="1:26" ht="15.6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 spans="1:26" ht="15.6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 spans="1:26" ht="15.6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 spans="1:26" ht="15.6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 spans="1:26" ht="15.6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 spans="1:26" ht="15.6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 spans="1:26" ht="15.6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 spans="1:26" ht="15.6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 spans="1:26" ht="15.6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 spans="1:26" ht="15.6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 spans="1:26" ht="15.6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 spans="1:26" ht="15.6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 spans="1:26" ht="15.6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 spans="1:26" ht="15.6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 spans="1:26" ht="15.6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 spans="1:26" ht="15.6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 spans="1:26" ht="15.6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 spans="1:26" ht="15.6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 spans="1:26" ht="15.6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 spans="1:26" ht="15.6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 spans="1:26" ht="15.6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 spans="1:26" ht="15.6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 spans="1:26" ht="15.6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</row>
    <row r="101" spans="1:26" ht="15.6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</row>
    <row r="102" spans="1:26" ht="15.6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</row>
    <row r="103" spans="1:26" ht="15.6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</row>
    <row r="104" spans="1:26" ht="15.6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</row>
    <row r="105" spans="1:26" ht="15.6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</row>
    <row r="106" spans="1:26" ht="15.6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</row>
    <row r="107" spans="1:26" ht="15.6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</row>
    <row r="108" spans="1:26" ht="15.6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</row>
    <row r="109" spans="1:26" ht="15.6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</row>
    <row r="110" spans="1:26" ht="15.6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</row>
    <row r="111" spans="1:26" ht="15.6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</row>
    <row r="112" spans="1:26" ht="15.6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</row>
    <row r="113" spans="1:26" ht="15.6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</row>
    <row r="114" spans="1:26" ht="15.6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</row>
    <row r="115" spans="1:26" ht="15.6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</row>
    <row r="116" spans="1:26" ht="15.6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</row>
    <row r="117" spans="1:26" ht="15.6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</row>
    <row r="118" spans="1:26" ht="15.6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</row>
    <row r="119" spans="1:26" ht="15.6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</row>
    <row r="120" spans="1:26" ht="15.6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</row>
    <row r="121" spans="1:26" ht="15.6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</row>
    <row r="122" spans="1:26" ht="15.6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</row>
    <row r="123" spans="1:26" ht="15.6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</row>
    <row r="124" spans="1:26" ht="15.6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</row>
    <row r="125" spans="1:26" ht="15.6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</row>
    <row r="126" spans="1:26" ht="15.6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</row>
    <row r="127" spans="1:26" ht="15.6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</row>
    <row r="128" spans="1:26" ht="15.6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</row>
    <row r="129" spans="1:26" ht="15.6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</row>
    <row r="130" spans="1:26" ht="15.6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</row>
    <row r="131" spans="1:26" ht="15.6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</row>
    <row r="132" spans="1:26" ht="15.6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</row>
    <row r="133" spans="1:26" ht="15.6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</row>
    <row r="134" spans="1:26" ht="15.6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</row>
    <row r="135" spans="1:26" ht="15.6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</row>
    <row r="136" spans="1:26" ht="15.6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</row>
    <row r="137" spans="1:26" ht="15.6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</row>
    <row r="138" spans="1:26" ht="15.6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</row>
    <row r="139" spans="1:26" ht="15.6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</row>
    <row r="140" spans="1:26" ht="15.6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</row>
    <row r="141" spans="1:26" ht="15.6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</row>
    <row r="142" spans="1:26" ht="15.6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</row>
    <row r="143" spans="1:26" ht="15.6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</row>
    <row r="144" spans="1:26" ht="15.6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</row>
    <row r="145" spans="1:26" ht="15.6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</row>
    <row r="146" spans="1:26" ht="15.6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</row>
    <row r="147" spans="1:26" ht="15.6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</row>
    <row r="148" spans="1:26" ht="15.6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</row>
    <row r="149" spans="1:26" ht="15.6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</row>
    <row r="150" spans="1:26" ht="15.6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</row>
    <row r="151" spans="1:26" ht="15.6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</row>
    <row r="152" spans="1:26" ht="15.6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</row>
    <row r="153" spans="1:26" ht="15.6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</row>
    <row r="154" spans="1:26" ht="15.6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</row>
    <row r="155" spans="1:26" ht="15.6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</row>
    <row r="156" spans="1:26" ht="15.6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</row>
    <row r="157" spans="1:26" ht="15.6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</row>
    <row r="158" spans="1:26" ht="15.6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</row>
    <row r="159" spans="1:26" ht="15.6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</row>
    <row r="160" spans="1:26" ht="15.6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</row>
    <row r="161" spans="1:26" ht="15.6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</row>
    <row r="162" spans="1:26" ht="15.6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</row>
    <row r="163" spans="1:26" ht="15.6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</row>
    <row r="164" spans="1:26" ht="15.6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</row>
    <row r="165" spans="1:26" ht="15.6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</row>
    <row r="166" spans="1:26" ht="15.6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</row>
    <row r="167" spans="1:26" ht="15.6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</row>
    <row r="168" spans="1:26" ht="15.6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</row>
    <row r="169" spans="1:26" ht="15.6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</row>
    <row r="170" spans="1:26" ht="15.6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</row>
    <row r="171" spans="1:26" ht="15.6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</row>
    <row r="172" spans="1:26" ht="15.6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</row>
    <row r="173" spans="1:26" ht="15.6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</row>
    <row r="174" spans="1:26" ht="15.6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</row>
    <row r="175" spans="1:26" ht="15.6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</row>
    <row r="176" spans="1:26" ht="15.6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</row>
    <row r="177" spans="1:26" ht="15.6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</row>
    <row r="178" spans="1:26" ht="15.6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</row>
    <row r="179" spans="1:26" ht="15.6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</row>
    <row r="180" spans="1:26" ht="15.6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</row>
    <row r="181" spans="1:26" ht="15.6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</row>
    <row r="182" spans="1:26" ht="15.6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</row>
    <row r="183" spans="1:26" ht="15.6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</row>
    <row r="184" spans="1:26" ht="15.6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</row>
    <row r="185" spans="1:26" ht="15.6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</row>
    <row r="186" spans="1:26" ht="15.6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</row>
    <row r="187" spans="1:26" ht="15.6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</row>
    <row r="188" spans="1:26" ht="15.6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</row>
    <row r="189" spans="1:26" ht="15.6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</row>
    <row r="190" spans="1:26" ht="15.6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</row>
    <row r="191" spans="1:26" ht="15.6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</row>
    <row r="192" spans="1:26" ht="15.6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</row>
    <row r="193" spans="1:26" ht="15.6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</row>
    <row r="194" spans="1:26" ht="15.6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</row>
    <row r="195" spans="1:26" ht="15.6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</row>
    <row r="196" spans="1:26" ht="15.6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</row>
    <row r="197" spans="1:26" ht="15.6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</row>
    <row r="198" spans="1:26" ht="15.6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</row>
    <row r="199" spans="1:26" ht="15.6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</row>
    <row r="200" spans="1:26" ht="15.6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</row>
    <row r="201" spans="1:26" ht="15.6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</row>
    <row r="202" spans="1:26" ht="15.6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</row>
    <row r="203" spans="1:26" ht="15.6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</row>
    <row r="204" spans="1:26" ht="15.6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</row>
    <row r="205" spans="1:26" ht="15.6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</row>
    <row r="206" spans="1:26" ht="15.6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</row>
    <row r="207" spans="1:26" ht="15.6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</row>
    <row r="208" spans="1:26" ht="15.6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</row>
    <row r="209" spans="1:26" ht="15.6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</row>
    <row r="210" spans="1:26" ht="15.6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</row>
    <row r="211" spans="1:26" ht="15.6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</row>
    <row r="212" spans="1:26" ht="15.6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</row>
    <row r="213" spans="1:26" ht="15.6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</row>
    <row r="214" spans="1:26" ht="15.6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</row>
    <row r="215" spans="1:26" ht="15.6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</row>
    <row r="216" spans="1:26" ht="15.6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</row>
    <row r="217" spans="1:26" ht="15.6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</row>
    <row r="218" spans="1:26" ht="15.6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</row>
    <row r="219" spans="1:26" ht="15.6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</row>
    <row r="220" spans="1:26" ht="15.6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</row>
    <row r="221" spans="1:26" ht="15.6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</row>
    <row r="222" spans="1:26" ht="15.6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</row>
    <row r="223" spans="1:26" ht="15.6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</row>
    <row r="224" spans="1:26" ht="15.6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</row>
    <row r="225" spans="1:26" ht="15.6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</row>
    <row r="226" spans="1:26" ht="15.6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</row>
    <row r="227" spans="1:26" ht="15.6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</row>
    <row r="228" spans="1:26" ht="15.6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</row>
    <row r="229" spans="1:26" ht="15.6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</row>
    <row r="230" spans="1:26" ht="15.6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</row>
    <row r="231" spans="1:26" ht="15.6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</row>
    <row r="232" spans="1:26" ht="15.6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</row>
    <row r="233" spans="1:26" ht="15.6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</row>
    <row r="234" spans="1:26" ht="15.6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</row>
    <row r="235" spans="1:26" ht="15.6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</row>
    <row r="236" spans="1:26" ht="15.6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</row>
    <row r="237" spans="1:26" ht="15.6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</row>
    <row r="238" spans="1:26" ht="15.6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</row>
    <row r="239" spans="1:26" ht="15.6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</row>
    <row r="240" spans="1:26" ht="15.6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</row>
    <row r="241" spans="1:26" ht="15.6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</row>
    <row r="242" spans="1:26" ht="15.6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</row>
    <row r="243" spans="1:26" ht="15.6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</row>
    <row r="244" spans="1:26" ht="15.6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</row>
    <row r="245" spans="1:26" ht="15.6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</row>
    <row r="246" spans="1:26" ht="15.6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</row>
    <row r="247" spans="1:26" ht="15.6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</row>
    <row r="248" spans="1:26" ht="15.6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</row>
    <row r="249" spans="1:26" ht="15.6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</row>
    <row r="250" spans="1:26" ht="15.6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</row>
    <row r="251" spans="1:26" ht="15.6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</row>
    <row r="252" spans="1:26" ht="15.6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</row>
    <row r="253" spans="1:26" ht="15.6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</row>
    <row r="254" spans="1:26" ht="15.6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</row>
    <row r="255" spans="1:26" ht="15.6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</row>
    <row r="256" spans="1:26" ht="15.6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</row>
    <row r="257" spans="1:26" ht="15.6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</row>
    <row r="258" spans="1:26" ht="15.6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</row>
    <row r="259" spans="1:26" ht="15.6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</row>
    <row r="260" spans="1:26" ht="15.6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</row>
    <row r="261" spans="1:26" ht="15.6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</row>
    <row r="262" spans="1:26" ht="15.6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</row>
    <row r="263" spans="1:26" ht="15.6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</row>
    <row r="264" spans="1:26" ht="15.6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</row>
    <row r="265" spans="1:26" ht="15.6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</row>
    <row r="266" spans="1:26" ht="15.6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</row>
    <row r="267" spans="1:26" ht="15.6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</row>
    <row r="268" spans="1:26" ht="15.6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</row>
    <row r="269" spans="1:26" ht="15.6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</row>
    <row r="270" spans="1:26" ht="15.6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</row>
    <row r="271" spans="1:26" ht="15.6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</row>
    <row r="272" spans="1:26" ht="15.6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</row>
    <row r="273" spans="1:26" ht="15.6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</row>
    <row r="274" spans="1:26" ht="15.6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</row>
    <row r="275" spans="1:26" ht="15.6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</row>
    <row r="276" spans="1:26" ht="15.6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</row>
    <row r="277" spans="1:26" ht="15.6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</row>
    <row r="278" spans="1:26" ht="15.6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</row>
    <row r="279" spans="1:26" ht="15.6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</row>
    <row r="280" spans="1:26" ht="15.6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</row>
    <row r="281" spans="1:26" ht="15.6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</row>
    <row r="282" spans="1:26" ht="15.6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</row>
    <row r="283" spans="1:26" ht="15.6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</row>
    <row r="284" spans="1:26" ht="15.6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</row>
    <row r="285" spans="1:26" ht="15.6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</row>
    <row r="286" spans="1:26" ht="15.6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</row>
    <row r="287" spans="1:26" ht="15.6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</row>
    <row r="288" spans="1:26" ht="15.6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</row>
    <row r="289" spans="1:26" ht="15.6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</row>
    <row r="290" spans="1:26" ht="15.6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</row>
    <row r="291" spans="1:26" ht="15.6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</row>
    <row r="292" spans="1:26" ht="15.6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</row>
    <row r="293" spans="1:26" ht="15.6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</row>
    <row r="294" spans="1:26" ht="15.6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</row>
    <row r="295" spans="1:26" ht="15.6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</row>
    <row r="296" spans="1:26" ht="15.6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</row>
    <row r="297" spans="1:26" ht="15.6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</row>
    <row r="298" spans="1:26" ht="15.6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</row>
    <row r="299" spans="1:26" ht="15.6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</row>
    <row r="300" spans="1:26" ht="15.6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</row>
    <row r="301" spans="1:26" ht="15.6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</row>
    <row r="302" spans="1:26" ht="15.6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</row>
    <row r="303" spans="1:26" ht="15.6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</row>
    <row r="304" spans="1:26" ht="15.6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</row>
    <row r="305" spans="1:26" ht="15.6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</row>
    <row r="306" spans="1:26" ht="15.6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</row>
    <row r="307" spans="1:26" ht="15.6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</row>
    <row r="308" spans="1:26" ht="15.6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</row>
    <row r="309" spans="1:26" ht="15.6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</row>
    <row r="310" spans="1:26" ht="15.6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</row>
    <row r="311" spans="1:26" ht="15.6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</row>
    <row r="312" spans="1:26" ht="15.6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</row>
    <row r="313" spans="1:26" ht="15.6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</row>
    <row r="314" spans="1:26" ht="15.6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</row>
    <row r="315" spans="1:26" ht="15.6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</row>
    <row r="316" spans="1:26" ht="15.6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</row>
    <row r="317" spans="1:26" ht="15.6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</row>
    <row r="318" spans="1:26" ht="15.6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</row>
    <row r="319" spans="1:26" ht="15.6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</row>
    <row r="320" spans="1:26" ht="15.6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</row>
    <row r="321" spans="1:26" ht="15.6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</row>
    <row r="322" spans="1:26" ht="15.6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</row>
    <row r="323" spans="1:26" ht="15.6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</row>
    <row r="324" spans="1:26" ht="15.6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</row>
    <row r="325" spans="1:26" ht="15.6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</row>
    <row r="326" spans="1:26" ht="15.6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</row>
    <row r="327" spans="1:26" ht="15.6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</row>
    <row r="328" spans="1:26" ht="15.6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</row>
    <row r="329" spans="1:26" ht="15.6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</row>
    <row r="330" spans="1:26" ht="15.6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</row>
    <row r="331" spans="1:26" ht="15.6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</row>
    <row r="332" spans="1:26" ht="15.6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</row>
    <row r="333" spans="1:26" ht="15.6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</row>
    <row r="334" spans="1:26" ht="15.6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</row>
    <row r="335" spans="1:26" ht="15.6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</row>
    <row r="336" spans="1:26" ht="15.6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</row>
    <row r="337" spans="1:26" ht="15.6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</row>
    <row r="338" spans="1:26" ht="15.6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</row>
    <row r="339" spans="1:26" ht="15.6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</row>
    <row r="340" spans="1:26" ht="15.6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</row>
    <row r="341" spans="1:26" ht="15.6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</row>
    <row r="342" spans="1:26" ht="15.6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</row>
    <row r="343" spans="1:26" ht="15.6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</row>
    <row r="344" spans="1:26" ht="15.6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</row>
    <row r="345" spans="1:26" ht="15.6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</row>
    <row r="346" spans="1:26" ht="15.6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</row>
    <row r="347" spans="1:26" ht="15.6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</row>
    <row r="348" spans="1:26" ht="15.6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</row>
    <row r="349" spans="1:26" ht="15.6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</row>
    <row r="350" spans="1:26" ht="15.6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</row>
    <row r="351" spans="1:26" ht="15.6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</row>
    <row r="352" spans="1:26" ht="15.6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</row>
    <row r="353" spans="1:26" ht="15.6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</row>
    <row r="354" spans="1:26" ht="15.6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</row>
    <row r="355" spans="1:26" ht="15.6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</row>
    <row r="356" spans="1:26" ht="15.6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</row>
    <row r="357" spans="1:26" ht="15.6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</row>
    <row r="358" spans="1:26" ht="15.6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</row>
    <row r="359" spans="1:26" ht="15.6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</row>
    <row r="360" spans="1:26" ht="15.6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</row>
    <row r="361" spans="1:26" ht="15.6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</row>
    <row r="362" spans="1:26" ht="15.6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</row>
    <row r="363" spans="1:26" ht="15.6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</row>
    <row r="364" spans="1:26" ht="15.6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</row>
    <row r="365" spans="1:26" ht="15.6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</row>
    <row r="366" spans="1:26" ht="15.6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</row>
    <row r="367" spans="1:26" ht="15.6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</row>
    <row r="368" spans="1:26" ht="15.6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</row>
    <row r="369" spans="1:26" ht="15.6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</row>
    <row r="370" spans="1:26" ht="15.6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</row>
    <row r="371" spans="1:26" ht="15.6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</row>
    <row r="372" spans="1:26" ht="15.6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</row>
    <row r="373" spans="1:26" ht="15.6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</row>
    <row r="374" spans="1:26" ht="15.6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</row>
    <row r="375" spans="1:26" ht="15.6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</row>
    <row r="376" spans="1:26" ht="15.6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</row>
    <row r="377" spans="1:26" ht="15.6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</row>
    <row r="378" spans="1:26" ht="15.6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</row>
    <row r="379" spans="1:26" ht="15.6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</row>
    <row r="380" spans="1:26" ht="15.6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</row>
    <row r="381" spans="1:26" ht="15.6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</row>
    <row r="382" spans="1:26" ht="15.6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</row>
    <row r="383" spans="1:26" ht="15.6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</row>
    <row r="384" spans="1:26" ht="15.6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</row>
    <row r="385" spans="1:26" ht="15.6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</row>
    <row r="386" spans="1:26" ht="15.6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</row>
    <row r="387" spans="1:26" ht="15.6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</row>
    <row r="388" spans="1:26" ht="15.6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</row>
    <row r="389" spans="1:26" ht="15.6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</row>
    <row r="390" spans="1:26" ht="15.6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</row>
    <row r="391" spans="1:26" ht="15.6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</row>
    <row r="392" spans="1:26" ht="15.6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</row>
    <row r="393" spans="1:26" ht="15.6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</row>
    <row r="394" spans="1:26" ht="15.6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</row>
    <row r="395" spans="1:26" ht="15.6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</row>
    <row r="396" spans="1:26" ht="15.6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</row>
    <row r="397" spans="1:26" ht="15.6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</row>
    <row r="398" spans="1:26" ht="15.6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</row>
    <row r="399" spans="1:26" ht="15.6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</row>
    <row r="400" spans="1:26" ht="15.6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</row>
    <row r="401" spans="1:26" ht="15.6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</row>
    <row r="402" spans="1:26" ht="15.6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</row>
    <row r="403" spans="1:26" ht="15.6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</row>
    <row r="404" spans="1:26" ht="15.6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</row>
    <row r="405" spans="1:26" ht="15.6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</row>
    <row r="406" spans="1:26" ht="15.6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</row>
    <row r="407" spans="1:26" ht="15.6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</row>
    <row r="408" spans="1:26" ht="15.6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</row>
    <row r="409" spans="1:26" ht="15.6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</row>
    <row r="410" spans="1:26" ht="15.6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</row>
    <row r="411" spans="1:26" ht="15.6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</row>
    <row r="412" spans="1:26" ht="15.6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</row>
    <row r="413" spans="1:26" ht="15.6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</row>
    <row r="414" spans="1:26" ht="15.6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</row>
    <row r="415" spans="1:26" ht="15.6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</row>
    <row r="416" spans="1:26" ht="15.6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</row>
    <row r="417" spans="1:26" ht="15.6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</row>
    <row r="418" spans="1:26" ht="15.6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</row>
    <row r="419" spans="1:26" ht="15.6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</row>
    <row r="420" spans="1:26" ht="15.6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</row>
    <row r="421" spans="1:26" ht="15.6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</row>
    <row r="422" spans="1:26" ht="15.6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</row>
    <row r="423" spans="1:26" ht="15.6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</row>
    <row r="424" spans="1:26" ht="15.6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</row>
    <row r="425" spans="1:26" ht="15.6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</row>
    <row r="426" spans="1:26" ht="15.6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</row>
    <row r="427" spans="1:26" ht="15.6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</row>
    <row r="428" spans="1:26" ht="15.6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</row>
    <row r="429" spans="1:26" ht="15.6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</row>
    <row r="430" spans="1:26" ht="15.6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</row>
    <row r="431" spans="1:26" ht="15.6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</row>
    <row r="432" spans="1:26" ht="15.6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</row>
    <row r="433" spans="1:26" ht="15.6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</row>
    <row r="434" spans="1:26" ht="15.6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</row>
    <row r="435" spans="1:26" ht="15.6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</row>
    <row r="436" spans="1:26" ht="15.6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</row>
    <row r="437" spans="1:26" ht="15.6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</row>
    <row r="438" spans="1:26" ht="15.6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</row>
    <row r="439" spans="1:26" ht="15.6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</row>
    <row r="440" spans="1:26" ht="15.6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</row>
    <row r="441" spans="1:26" ht="15.6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</row>
    <row r="442" spans="1:26" ht="15.6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</row>
    <row r="443" spans="1:26" ht="15.6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</row>
    <row r="444" spans="1:26" ht="15.6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</row>
    <row r="445" spans="1:26" ht="15.6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</row>
    <row r="446" spans="1:26" ht="15.6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</row>
    <row r="447" spans="1:26" ht="15.6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</row>
    <row r="448" spans="1:26" ht="15.6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</row>
    <row r="449" spans="1:26" ht="15.6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</row>
    <row r="450" spans="1:26" ht="15.6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</row>
    <row r="451" spans="1:26" ht="15.6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</row>
    <row r="452" spans="1:26" ht="15.6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</row>
    <row r="453" spans="1:26" ht="15.6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</row>
    <row r="454" spans="1:26" ht="15.6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</row>
    <row r="455" spans="1:26" ht="15.6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</row>
    <row r="456" spans="1:26" ht="15.6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</row>
    <row r="457" spans="1:26" ht="15.6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</row>
    <row r="458" spans="1:26" ht="15.6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</row>
    <row r="459" spans="1:26" ht="15.6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</row>
    <row r="460" spans="1:26" ht="15.6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</row>
    <row r="461" spans="1:26" ht="15.6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</row>
    <row r="462" spans="1:26" ht="15.6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</row>
    <row r="463" spans="1:26" ht="15.6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</row>
    <row r="464" spans="1:26" ht="15.6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</row>
    <row r="465" spans="1:26" ht="15.6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</row>
    <row r="466" spans="1:26" ht="15.6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</row>
    <row r="467" spans="1:26" ht="15.6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</row>
    <row r="468" spans="1:26" ht="15.6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</row>
    <row r="469" spans="1:26" ht="15.6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</row>
    <row r="470" spans="1:26" ht="15.6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</row>
    <row r="471" spans="1:26" ht="15.6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</row>
    <row r="472" spans="1:26" ht="15.6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</row>
    <row r="473" spans="1:26" ht="15.6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</row>
    <row r="474" spans="1:26" ht="15.6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</row>
    <row r="475" spans="1:26" ht="15.6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</row>
    <row r="476" spans="1:26" ht="15.6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</row>
    <row r="477" spans="1:26" ht="15.6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</row>
    <row r="478" spans="1:26" ht="15.6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</row>
    <row r="479" spans="1:26" ht="15.6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</row>
    <row r="480" spans="1:26" ht="15.6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</row>
    <row r="481" spans="1:26" ht="15.6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</row>
    <row r="482" spans="1:26" ht="15.6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</row>
    <row r="483" spans="1:26" ht="15.6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</row>
    <row r="484" spans="1:26" ht="15.6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</row>
    <row r="485" spans="1:26" ht="15.6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</row>
    <row r="486" spans="1:26" ht="15.6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</row>
    <row r="487" spans="1:26" ht="15.6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</row>
    <row r="488" spans="1:26" ht="15.6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</row>
    <row r="489" spans="1:26" ht="15.6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</row>
    <row r="490" spans="1:26" ht="15.6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</row>
    <row r="491" spans="1:26" ht="15.6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</row>
    <row r="492" spans="1:26" ht="15.6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</row>
    <row r="493" spans="1:26" ht="15.6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</row>
    <row r="494" spans="1:26" ht="15.6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</row>
    <row r="495" spans="1:26" ht="15.6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</row>
    <row r="496" spans="1:26" ht="15.6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</row>
    <row r="497" spans="1:26" ht="15.6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</row>
    <row r="498" spans="1:26" ht="15.6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</row>
    <row r="499" spans="1:26" ht="15.6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</row>
    <row r="500" spans="1:26" ht="15.6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</row>
    <row r="501" spans="1:26" ht="15.6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</row>
    <row r="502" spans="1:26" ht="15.6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</row>
    <row r="503" spans="1:26" ht="15.6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</row>
    <row r="504" spans="1:26" ht="15.6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</row>
    <row r="505" spans="1:26" ht="15.6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</row>
    <row r="506" spans="1:26" ht="15.6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</row>
    <row r="507" spans="1:26" ht="15.6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</row>
    <row r="508" spans="1:26" ht="15.6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</row>
    <row r="509" spans="1:26" ht="15.6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</row>
    <row r="510" spans="1:26" ht="15.6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</row>
    <row r="511" spans="1:26" ht="15.6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</row>
    <row r="512" spans="1:26" ht="15.6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</row>
    <row r="513" spans="1:26" ht="15.6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</row>
    <row r="514" spans="1:26" ht="15.6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</row>
    <row r="515" spans="1:26" ht="15.6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</row>
    <row r="516" spans="1:26" ht="15.6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</row>
    <row r="517" spans="1:26" ht="15.6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</row>
    <row r="518" spans="1:26" ht="15.6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</row>
    <row r="519" spans="1:26" ht="15.6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</row>
    <row r="520" spans="1:26" ht="15.6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</row>
    <row r="521" spans="1:26" ht="15.6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</row>
    <row r="522" spans="1:26" ht="15.6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</row>
    <row r="523" spans="1:26" ht="15.6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</row>
    <row r="524" spans="1:26" ht="15.6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</row>
    <row r="525" spans="1:26" ht="15.6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</row>
    <row r="526" spans="1:26" ht="15.6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</row>
    <row r="527" spans="1:26" ht="15.6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</row>
    <row r="528" spans="1:26" ht="15.6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</row>
    <row r="529" spans="1:26" ht="15.6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</row>
    <row r="530" spans="1:26" ht="15.6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</row>
    <row r="531" spans="1:26" ht="15.6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</row>
    <row r="532" spans="1:26" ht="15.6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</row>
    <row r="533" spans="1:26" ht="15.6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</row>
    <row r="534" spans="1:26" ht="15.6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</row>
    <row r="535" spans="1:26" ht="15.6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</row>
    <row r="536" spans="1:26" ht="15.6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</row>
    <row r="537" spans="1:26" ht="15.6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</row>
    <row r="538" spans="1:26" ht="15.6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</row>
    <row r="539" spans="1:26" ht="15.6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</row>
    <row r="540" spans="1:26" ht="15.6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</row>
    <row r="541" spans="1:26" ht="15.6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</row>
    <row r="542" spans="1:26" ht="15.6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</row>
    <row r="543" spans="1:26" ht="15.6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</row>
    <row r="544" spans="1:26" ht="15.6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</row>
    <row r="545" spans="1:26" ht="15.6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</row>
    <row r="546" spans="1:26" ht="15.6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</row>
    <row r="547" spans="1:26" ht="15.6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</row>
    <row r="548" spans="1:26" ht="15.6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</row>
    <row r="549" spans="1:26" ht="15.6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</row>
    <row r="550" spans="1:26" ht="15.6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</row>
    <row r="551" spans="1:26" ht="15.6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</row>
    <row r="552" spans="1:26" ht="15.6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</row>
    <row r="553" spans="1:26" ht="15.6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</row>
    <row r="554" spans="1:26" ht="15.6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</row>
    <row r="555" spans="1:26" ht="15.6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</row>
    <row r="556" spans="1:26" ht="15.6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</row>
    <row r="557" spans="1:26" ht="15.6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</row>
    <row r="558" spans="1:26" ht="15.6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</row>
    <row r="559" spans="1:26" ht="15.6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</row>
    <row r="560" spans="1:26" ht="15.6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</row>
    <row r="561" spans="1:26" ht="15.6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</row>
    <row r="562" spans="1:26" ht="15.6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</row>
    <row r="563" spans="1:26" ht="15.6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</row>
    <row r="564" spans="1:26" ht="15.6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</row>
    <row r="565" spans="1:26" ht="15.6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</row>
    <row r="566" spans="1:26" ht="15.6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</row>
    <row r="567" spans="1:26" ht="15.6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</row>
    <row r="568" spans="1:26" ht="15.6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</row>
    <row r="569" spans="1:26" ht="15.6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</row>
    <row r="570" spans="1:26" ht="15.6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</row>
    <row r="571" spans="1:26" ht="15.6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</row>
    <row r="572" spans="1:26" ht="15.6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</row>
    <row r="573" spans="1:26" ht="15.6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</row>
    <row r="574" spans="1:26" ht="15.6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</row>
    <row r="575" spans="1:26" ht="15.6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</row>
    <row r="576" spans="1:26" ht="15.6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</row>
    <row r="577" spans="1:26" ht="15.6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</row>
    <row r="578" spans="1:26" ht="15.6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</row>
    <row r="579" spans="1:26" ht="15.6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</row>
    <row r="580" spans="1:26" ht="15.6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</row>
    <row r="581" spans="1:26" ht="15.6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</row>
    <row r="582" spans="1:26" ht="15.6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</row>
    <row r="583" spans="1:26" ht="15.6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</row>
    <row r="584" spans="1:26" ht="15.6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</row>
    <row r="585" spans="1:26" ht="15.6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</row>
    <row r="586" spans="1:26" ht="15.6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</row>
    <row r="587" spans="1:26" ht="15.6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</row>
    <row r="588" spans="1:26" ht="15.6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</row>
    <row r="589" spans="1:26" ht="15.6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</row>
    <row r="590" spans="1:26" ht="15.6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</row>
    <row r="591" spans="1:26" ht="15.6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</row>
    <row r="592" spans="1:26" ht="15.6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</row>
    <row r="593" spans="1:26" ht="15.6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</row>
    <row r="594" spans="1:26" ht="15.6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</row>
    <row r="595" spans="1:26" ht="15.6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</row>
    <row r="596" spans="1:26" ht="15.6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</row>
    <row r="597" spans="1:26" ht="15.6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</row>
    <row r="598" spans="1:26" ht="15.6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</row>
    <row r="599" spans="1:26" ht="15.6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</row>
    <row r="600" spans="1:26" ht="15.6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</row>
    <row r="601" spans="1:26" ht="15.6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</row>
    <row r="602" spans="1:26" ht="15.6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</row>
    <row r="603" spans="1:26" ht="15.6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</row>
    <row r="604" spans="1:26" ht="15.6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</row>
    <row r="605" spans="1:26" ht="15.6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</row>
    <row r="606" spans="1:26" ht="15.6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</row>
    <row r="607" spans="1:26" ht="15.6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</row>
    <row r="608" spans="1:26" ht="15.6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</row>
    <row r="609" spans="1:26" ht="15.6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</row>
    <row r="610" spans="1:26" ht="15.6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</row>
    <row r="611" spans="1:26" ht="15.6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</row>
    <row r="612" spans="1:26" ht="15.6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</row>
    <row r="613" spans="1:26" ht="15.6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</row>
    <row r="614" spans="1:26" ht="15.6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</row>
    <row r="615" spans="1:26" ht="15.6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</row>
    <row r="616" spans="1:26" ht="15.6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</row>
    <row r="617" spans="1:26" ht="15.6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</row>
    <row r="618" spans="1:26" ht="15.6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</row>
    <row r="619" spans="1:26" ht="15.6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</row>
    <row r="620" spans="1:26" ht="15.6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</row>
    <row r="621" spans="1:26" ht="15.6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</row>
    <row r="622" spans="1:26" ht="15.6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</row>
    <row r="623" spans="1:26" ht="15.6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</row>
    <row r="624" spans="1:26" ht="15.6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</row>
    <row r="625" spans="1:26" ht="15.6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</row>
    <row r="626" spans="1:26" ht="15.6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</row>
    <row r="627" spans="1:26" ht="15.6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</row>
    <row r="628" spans="1:26" ht="15.6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</row>
    <row r="629" spans="1:26" ht="15.6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</row>
    <row r="630" spans="1:26" ht="15.6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</row>
    <row r="631" spans="1:26" ht="15.6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</row>
    <row r="632" spans="1:26" ht="15.6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</row>
    <row r="633" spans="1:26" ht="15.6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</row>
    <row r="634" spans="1:26" ht="15.6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</row>
    <row r="635" spans="1:26" ht="15.6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</row>
    <row r="636" spans="1:26" ht="15.6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</row>
    <row r="637" spans="1:26" ht="15.6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</row>
    <row r="638" spans="1:26" ht="15.6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</row>
    <row r="639" spans="1:26" ht="15.6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</row>
    <row r="640" spans="1:26" ht="15.6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</row>
    <row r="641" spans="1:26" ht="15.6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</row>
    <row r="642" spans="1:26" ht="15.6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</row>
    <row r="643" spans="1:26" ht="15.6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</row>
    <row r="644" spans="1:26" ht="15.6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</row>
    <row r="645" spans="1:26" ht="15.6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</row>
    <row r="646" spans="1:26" ht="15.6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</row>
    <row r="647" spans="1:26" ht="15.6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</row>
    <row r="648" spans="1:26" ht="15.6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</row>
    <row r="649" spans="1:26" ht="15.6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</row>
    <row r="650" spans="1:26" ht="15.6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</row>
    <row r="651" spans="1:26" ht="15.6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</row>
    <row r="652" spans="1:26" ht="15.6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</row>
    <row r="653" spans="1:26" ht="15.6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</row>
    <row r="654" spans="1:26" ht="15.6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</row>
    <row r="655" spans="1:26" ht="15.6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</row>
    <row r="656" spans="1:26" ht="15.6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</row>
    <row r="657" spans="1:26" ht="15.6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</row>
    <row r="658" spans="1:26" ht="15.6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</row>
    <row r="659" spans="1:26" ht="15.6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</row>
    <row r="660" spans="1:26" ht="15.6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</row>
    <row r="661" spans="1:26" ht="15.6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</row>
    <row r="662" spans="1:26" ht="15.6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</row>
    <row r="663" spans="1:26" ht="15.6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</row>
    <row r="664" spans="1:26" ht="15.6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</row>
    <row r="665" spans="1:26" ht="15.6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</row>
    <row r="666" spans="1:26" ht="15.6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</row>
    <row r="667" spans="1:26" ht="15.6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</row>
    <row r="668" spans="1:26" ht="15.6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</row>
    <row r="669" spans="1:26" ht="15.6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</row>
    <row r="670" spans="1:26" ht="15.6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</row>
    <row r="671" spans="1:26" ht="15.6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</row>
    <row r="672" spans="1:26" ht="15.6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</row>
    <row r="673" spans="1:26" ht="15.6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</row>
    <row r="674" spans="1:26" ht="15.6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</row>
    <row r="675" spans="1:26" ht="15.6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</row>
    <row r="676" spans="1:26" ht="15.6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</row>
    <row r="677" spans="1:26" ht="15.6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</row>
    <row r="678" spans="1:26" ht="15.6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</row>
    <row r="679" spans="1:26" ht="15.6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</row>
    <row r="680" spans="1:26" ht="15.6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</row>
    <row r="681" spans="1:26" ht="15.6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</row>
    <row r="682" spans="1:26" ht="15.6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</row>
    <row r="683" spans="1:26" ht="15.6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</row>
    <row r="684" spans="1:26" ht="15.6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</row>
    <row r="685" spans="1:26" ht="15.6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</row>
    <row r="686" spans="1:26" ht="15.6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</row>
    <row r="687" spans="1:26" ht="15.6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</row>
    <row r="688" spans="1:26" ht="15.6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</row>
    <row r="689" spans="1:26" ht="15.6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</row>
    <row r="690" spans="1:26" ht="15.6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</row>
    <row r="691" spans="1:26" ht="15.6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</row>
    <row r="692" spans="1:26" ht="15.6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</row>
    <row r="693" spans="1:26" ht="15.6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</row>
    <row r="694" spans="1:26" ht="15.6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</row>
    <row r="695" spans="1:26" ht="15.6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</row>
    <row r="696" spans="1:26" ht="15.6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</row>
    <row r="697" spans="1:26" ht="15.6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</row>
    <row r="698" spans="1:26" ht="15.6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</row>
    <row r="699" spans="1:26" ht="15.6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</row>
    <row r="700" spans="1:26" ht="15.6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</row>
    <row r="701" spans="1:26" ht="15.6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</row>
    <row r="702" spans="1:26" ht="15.6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</row>
    <row r="703" spans="1:26" ht="15.6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</row>
    <row r="704" spans="1:26" ht="15.6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</row>
    <row r="705" spans="1:26" ht="15.6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</row>
    <row r="706" spans="1:26" ht="15.6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</row>
    <row r="707" spans="1:26" ht="15.6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</row>
    <row r="708" spans="1:26" ht="15.6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</row>
    <row r="709" spans="1:26" ht="15.6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</row>
    <row r="710" spans="1:26" ht="15.6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</row>
    <row r="711" spans="1:26" ht="15.6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</row>
    <row r="712" spans="1:26" ht="15.6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</row>
    <row r="713" spans="1:26" ht="15.6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</row>
    <row r="714" spans="1:26" ht="15.6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</row>
    <row r="715" spans="1:26" ht="15.6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</row>
    <row r="716" spans="1:26" ht="15.6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</row>
    <row r="717" spans="1:26" ht="15.6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</row>
    <row r="718" spans="1:26" ht="15.6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</row>
    <row r="719" spans="1:26" ht="15.6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</row>
    <row r="720" spans="1:26" ht="15.6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</row>
    <row r="721" spans="1:26" ht="15.6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</row>
    <row r="722" spans="1:26" ht="15.6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</row>
    <row r="723" spans="1:26" ht="15.6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</row>
    <row r="724" spans="1:26" ht="15.6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</row>
    <row r="725" spans="1:26" ht="15.6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</row>
    <row r="726" spans="1:26" ht="15.6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</row>
    <row r="727" spans="1:26" ht="15.6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</row>
    <row r="728" spans="1:26" ht="15.6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</row>
    <row r="729" spans="1:26" ht="15.6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</row>
    <row r="730" spans="1:26" ht="15.6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</row>
    <row r="731" spans="1:26" ht="15.6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</row>
    <row r="732" spans="1:26" ht="15.6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</row>
    <row r="733" spans="1:26" ht="15.6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</row>
    <row r="734" spans="1:26" ht="15.6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</row>
    <row r="735" spans="1:26" ht="15.6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</row>
    <row r="736" spans="1:26" ht="15.6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</row>
    <row r="737" spans="1:26" ht="15.6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</row>
    <row r="738" spans="1:26" ht="15.6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</row>
    <row r="739" spans="1:26" ht="15.6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</row>
    <row r="740" spans="1:26" ht="15.6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</row>
    <row r="741" spans="1:26" ht="15.6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</row>
    <row r="742" spans="1:26" ht="15.6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</row>
    <row r="743" spans="1:26" ht="15.6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</row>
    <row r="744" spans="1:26" ht="15.6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</row>
    <row r="745" spans="1:26" ht="15.6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</row>
    <row r="746" spans="1:26" ht="15.6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</row>
    <row r="747" spans="1:26" ht="15.6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</row>
    <row r="748" spans="1:26" ht="15.6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</row>
    <row r="749" spans="1:26" ht="15.6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</row>
    <row r="750" spans="1:26" ht="15.6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</row>
    <row r="751" spans="1:26" ht="15.6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</row>
    <row r="752" spans="1:26" ht="15.6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</row>
    <row r="753" spans="1:26" ht="15.6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</row>
    <row r="754" spans="1:26" ht="15.6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</row>
    <row r="755" spans="1:26" ht="15.6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</row>
    <row r="756" spans="1:26" ht="15.6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</row>
    <row r="757" spans="1:26" ht="15.6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</row>
    <row r="758" spans="1:26" ht="15.6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</row>
    <row r="759" spans="1:26" ht="15.6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</row>
    <row r="760" spans="1:26" ht="15.6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</row>
    <row r="761" spans="1:26" ht="15.6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</row>
    <row r="762" spans="1:26" ht="15.6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</row>
    <row r="763" spans="1:26" ht="15.6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</row>
    <row r="764" spans="1:26" ht="15.6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</row>
    <row r="765" spans="1:26" ht="15.6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</row>
    <row r="766" spans="1:26" ht="15.6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</row>
    <row r="767" spans="1:26" ht="15.6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</row>
    <row r="768" spans="1:26" ht="15.6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</row>
    <row r="769" spans="1:26" ht="15.6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</row>
    <row r="770" spans="1:26" ht="15.6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</row>
    <row r="771" spans="1:26" ht="15.6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</row>
    <row r="772" spans="1:26" ht="15.6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</row>
    <row r="773" spans="1:26" ht="15.6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</row>
    <row r="774" spans="1:26" ht="15.6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</row>
    <row r="775" spans="1:26" ht="15.6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</row>
    <row r="776" spans="1:26" ht="15.6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</row>
    <row r="777" spans="1:26" ht="15.6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</row>
    <row r="778" spans="1:26" ht="15.6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</row>
    <row r="779" spans="1:26" ht="15.6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</row>
    <row r="780" spans="1:26" ht="15.6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</row>
    <row r="781" spans="1:26" ht="15.6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</row>
    <row r="782" spans="1:26" ht="15.6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</row>
    <row r="783" spans="1:26" ht="15.6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</row>
    <row r="784" spans="1:26" ht="15.6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</row>
    <row r="785" spans="1:26" ht="15.6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</row>
    <row r="786" spans="1:26" ht="15.6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</row>
    <row r="787" spans="1:26" ht="15.6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</row>
    <row r="788" spans="1:26" ht="15.6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</row>
    <row r="789" spans="1:26" ht="15.6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</row>
    <row r="790" spans="1:26" ht="15.6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</row>
    <row r="791" spans="1:26" ht="15.6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</row>
    <row r="792" spans="1:26" ht="15.6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</row>
    <row r="793" spans="1:26" ht="15.6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</row>
    <row r="794" spans="1:26" ht="15.6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</row>
    <row r="795" spans="1:26" ht="15.6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</row>
    <row r="796" spans="1:26" ht="15.6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</row>
    <row r="797" spans="1:26" ht="15.6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</row>
    <row r="798" spans="1:26" ht="15.6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</row>
    <row r="799" spans="1:26" ht="15.6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</row>
    <row r="800" spans="1:26" ht="15.6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</row>
    <row r="801" spans="1:26" ht="15.6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</row>
    <row r="802" spans="1:26" ht="15.6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</row>
    <row r="803" spans="1:26" ht="15.6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</row>
    <row r="804" spans="1:26" ht="15.6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</row>
    <row r="805" spans="1:26" ht="15.6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</row>
    <row r="806" spans="1:26" ht="15.6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</row>
    <row r="807" spans="1:26" ht="15.6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</row>
    <row r="808" spans="1:26" ht="15.6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</row>
    <row r="809" spans="1:26" ht="15.6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</row>
    <row r="810" spans="1:26" ht="15.6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</row>
    <row r="811" spans="1:26" ht="15.6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</row>
    <row r="812" spans="1:26" ht="15.6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</row>
    <row r="813" spans="1:26" ht="15.6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</row>
    <row r="814" spans="1:26" ht="15.6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</row>
    <row r="815" spans="1:26" ht="15.6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</row>
    <row r="816" spans="1:26" ht="15.6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</row>
    <row r="817" spans="1:26" ht="15.6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</row>
    <row r="818" spans="1:26" ht="15.6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</row>
    <row r="819" spans="1:26" ht="15.6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</row>
    <row r="820" spans="1:26" ht="15.6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</row>
    <row r="821" spans="1:26" ht="15.6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</row>
    <row r="822" spans="1:26" ht="15.6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</row>
    <row r="823" spans="1:26" ht="15.6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</row>
    <row r="824" spans="1:26" ht="15.6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</row>
    <row r="825" spans="1:26" ht="15.6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</row>
    <row r="826" spans="1:26" ht="15.6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</row>
    <row r="827" spans="1:26" ht="15.6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</row>
    <row r="828" spans="1:26" ht="15.6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</row>
    <row r="829" spans="1:26" ht="15.6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</row>
    <row r="830" spans="1:26" ht="15.6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</row>
    <row r="831" spans="1:26" ht="15.6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</row>
    <row r="832" spans="1:26" ht="15.6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</row>
    <row r="833" spans="1:26" ht="15.6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</row>
    <row r="834" spans="1:26" ht="15.6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</row>
    <row r="835" spans="1:26" ht="15.6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</row>
    <row r="836" spans="1:26" ht="15.6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</row>
    <row r="837" spans="1:26" ht="15.6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</row>
    <row r="838" spans="1:26" ht="15.6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</row>
    <row r="839" spans="1:26" ht="15.6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</row>
    <row r="840" spans="1:26" ht="15.6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</row>
    <row r="841" spans="1:26" ht="15.6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</row>
    <row r="842" spans="1:26" ht="15.6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</row>
    <row r="843" spans="1:26" ht="15.6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</row>
    <row r="844" spans="1:26" ht="15.6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</row>
    <row r="845" spans="1:26" ht="15.6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</row>
    <row r="846" spans="1:26" ht="15.6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</row>
    <row r="847" spans="1:26" ht="15.6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</row>
    <row r="848" spans="1:26" ht="15.6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</row>
    <row r="849" spans="1:26" ht="15.6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</row>
    <row r="850" spans="1:26" ht="15.6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</row>
    <row r="851" spans="1:26" ht="15.6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</row>
    <row r="852" spans="1:26" ht="15.6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</row>
    <row r="853" spans="1:26" ht="15.6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</row>
    <row r="854" spans="1:26" ht="15.6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</row>
    <row r="855" spans="1:26" ht="15.6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</row>
    <row r="856" spans="1:26" ht="15.6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</row>
    <row r="857" spans="1:26" ht="15.6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</row>
    <row r="858" spans="1:26" ht="15.6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</row>
    <row r="859" spans="1:26" ht="15.6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</row>
    <row r="860" spans="1:26" ht="15.6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</row>
    <row r="861" spans="1:26" ht="15.6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</row>
    <row r="862" spans="1:26" ht="15.6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</row>
    <row r="863" spans="1:26" ht="15.6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</row>
    <row r="864" spans="1:26" ht="15.6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</row>
    <row r="865" spans="1:26" ht="15.6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</row>
    <row r="866" spans="1:26" ht="15.6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</row>
    <row r="867" spans="1:26" ht="15.6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</row>
    <row r="868" spans="1:26" ht="15.6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</row>
    <row r="869" spans="1:26" ht="15.6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</row>
    <row r="870" spans="1:26" ht="15.6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</row>
    <row r="871" spans="1:26" ht="15.6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</row>
    <row r="872" spans="1:26" ht="15.6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</row>
    <row r="873" spans="1:26" ht="15.6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</row>
    <row r="874" spans="1:26" ht="15.6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</row>
    <row r="875" spans="1:26" ht="15.6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</row>
    <row r="876" spans="1:26" ht="15.6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</row>
    <row r="877" spans="1:26" ht="15.6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</row>
    <row r="878" spans="1:26" ht="15.6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</row>
    <row r="879" spans="1:26" ht="15.6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</row>
    <row r="880" spans="1:26" ht="15.6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</row>
    <row r="881" spans="1:26" ht="15.6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</row>
    <row r="882" spans="1:26" ht="15.6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</row>
    <row r="883" spans="1:26" ht="15.6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</row>
    <row r="884" spans="1:26" ht="15.6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</row>
    <row r="885" spans="1:26" ht="15.6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</row>
    <row r="886" spans="1:26" ht="15.6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</row>
    <row r="887" spans="1:26" ht="15.6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</row>
    <row r="888" spans="1:26" ht="15.6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</row>
    <row r="889" spans="1:26" ht="15.6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</row>
    <row r="890" spans="1:26" ht="15.6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</row>
    <row r="891" spans="1:26" ht="15.6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</row>
    <row r="892" spans="1:26" ht="15.6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</row>
    <row r="893" spans="1:26" ht="15.6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</row>
    <row r="894" spans="1:26" ht="15.6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</row>
    <row r="895" spans="1:26" ht="15.6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</row>
    <row r="896" spans="1:26" ht="15.6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</row>
    <row r="897" spans="1:26" ht="15.6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</row>
    <row r="898" spans="1:26" ht="15.6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</row>
    <row r="899" spans="1:26" ht="15.6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</row>
    <row r="900" spans="1:26" ht="15.6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</row>
    <row r="901" spans="1:26" ht="15.6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</row>
    <row r="902" spans="1:26" ht="15.6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</row>
    <row r="903" spans="1:26" ht="15.6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</row>
    <row r="904" spans="1:26" ht="15.6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</row>
    <row r="905" spans="1:26" ht="15.6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</row>
    <row r="906" spans="1:26" ht="15.6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</row>
    <row r="907" spans="1:26" ht="15.6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</row>
    <row r="908" spans="1:26" ht="15.6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</row>
    <row r="909" spans="1:26" ht="15.6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</row>
    <row r="910" spans="1:26" ht="15.6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</row>
    <row r="911" spans="1:26" ht="15.6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</row>
    <row r="912" spans="1:26" ht="15.6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</row>
    <row r="913" spans="1:26" ht="15.6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</row>
    <row r="914" spans="1:26" ht="15.6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</row>
    <row r="915" spans="1:26" ht="15.6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</row>
    <row r="916" spans="1:26" ht="15.6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</row>
    <row r="917" spans="1:26" ht="15.6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</row>
    <row r="918" spans="1:26" ht="15.6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</row>
    <row r="919" spans="1:26" ht="15.6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</row>
    <row r="920" spans="1:26" ht="15.6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</row>
    <row r="921" spans="1:26" ht="15.6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</row>
    <row r="922" spans="1:26" ht="15.6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</row>
    <row r="923" spans="1:26" ht="15.6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</row>
    <row r="924" spans="1:26" ht="15.6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</row>
    <row r="925" spans="1:26" ht="15.6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</row>
    <row r="926" spans="1:26" ht="15.6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</row>
    <row r="927" spans="1:26" ht="15.6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</row>
    <row r="928" spans="1:26" ht="15.6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</row>
    <row r="929" spans="1:26" ht="15.6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</row>
    <row r="930" spans="1:26" ht="15.6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</row>
    <row r="931" spans="1:26" ht="15.6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</row>
    <row r="932" spans="1:26" ht="15.6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</row>
    <row r="933" spans="1:26" ht="15.6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</row>
    <row r="934" spans="1:26" ht="15.6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</row>
    <row r="935" spans="1:26" ht="15.6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</row>
    <row r="936" spans="1:26" ht="15.6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</row>
    <row r="937" spans="1:26" ht="15.6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</row>
    <row r="938" spans="1:26" ht="15.6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</row>
    <row r="939" spans="1:26" ht="15.6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</row>
    <row r="940" spans="1:26" ht="15.6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</row>
    <row r="941" spans="1:26" ht="15.6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</row>
    <row r="942" spans="1:26" ht="15.6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</row>
    <row r="943" spans="1:26" ht="15.6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</row>
    <row r="944" spans="1:26" ht="15.6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</row>
    <row r="945" spans="1:26" ht="15.6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</row>
    <row r="946" spans="1:26" ht="15.6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</row>
    <row r="947" spans="1:26" ht="15.6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</row>
    <row r="948" spans="1:26" ht="15.6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</row>
    <row r="949" spans="1:26" ht="15.6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</row>
    <row r="950" spans="1:26" ht="15.6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</row>
    <row r="951" spans="1:26" ht="15.6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</row>
    <row r="952" spans="1:26" ht="15.6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</row>
    <row r="953" spans="1:26" ht="15.6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</row>
    <row r="954" spans="1:26" ht="15.6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</row>
    <row r="955" spans="1:26" ht="15.6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</row>
    <row r="956" spans="1:26" ht="15.6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</row>
    <row r="957" spans="1:26" ht="15.6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</row>
    <row r="958" spans="1:26" ht="15.6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</row>
    <row r="959" spans="1:26" ht="15.6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</row>
    <row r="960" spans="1:26" ht="15.6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</row>
    <row r="961" spans="1:26" ht="15.6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</row>
    <row r="962" spans="1:26" ht="15.6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</row>
    <row r="963" spans="1:26" ht="15.6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</row>
    <row r="964" spans="1:26" ht="15.6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</row>
    <row r="965" spans="1:26" ht="15.6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</row>
    <row r="966" spans="1:26" ht="15.6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</row>
    <row r="967" spans="1:26" ht="15.6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</row>
    <row r="968" spans="1:26" ht="15.6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</row>
    <row r="969" spans="1:26" ht="15.6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</row>
    <row r="970" spans="1:26" ht="15.6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</row>
    <row r="971" spans="1:26" ht="15.6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</row>
    <row r="972" spans="1:26" ht="15.6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</row>
    <row r="973" spans="1:26" ht="15.6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</row>
    <row r="974" spans="1:26" ht="15.6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</row>
    <row r="975" spans="1:26" ht="15.6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</row>
    <row r="976" spans="1:26" ht="15.6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</row>
    <row r="977" spans="1:26" ht="15.6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</row>
    <row r="978" spans="1:26" ht="15.6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</row>
    <row r="979" spans="1:26" ht="15.6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</row>
    <row r="980" spans="1:26" ht="15.6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</row>
    <row r="981" spans="1:26" ht="15.6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</row>
    <row r="982" spans="1:26" ht="15.6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</row>
    <row r="983" spans="1:26" ht="15.6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</row>
    <row r="984" spans="1:26" ht="15.6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</row>
    <row r="985" spans="1:26" ht="15.6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</row>
    <row r="986" spans="1:26" ht="15.6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</row>
    <row r="987" spans="1:26" ht="15.6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</row>
    <row r="988" spans="1:26" ht="15.6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</row>
    <row r="989" spans="1:26" ht="15.6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</row>
    <row r="990" spans="1:26" ht="15.6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</row>
    <row r="991" spans="1:26" ht="15.6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</row>
    <row r="992" spans="1:26" ht="15.6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</row>
    <row r="993" spans="1:26" ht="15.6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</row>
    <row r="994" spans="1:26" ht="15.6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</row>
    <row r="995" spans="1:26" ht="15.6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</row>
    <row r="996" spans="1:26" ht="15.6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</row>
    <row r="997" spans="1:26" ht="15.6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</row>
    <row r="998" spans="1:26" ht="15.6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</row>
    <row r="999" spans="1:26" ht="15.6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</row>
    <row r="1000" spans="1:26" ht="15.6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</row>
  </sheetData>
  <mergeCells count="5">
    <mergeCell ref="A1:O1"/>
    <mergeCell ref="A2:O2"/>
    <mergeCell ref="I3:K3"/>
    <mergeCell ref="M3:O3"/>
    <mergeCell ref="C3:G3"/>
  </mergeCells>
  <pageMargins left="0.7" right="0.7" top="0.75" bottom="0.75" header="0.3" footer="0.3"/>
  <ignoredErrors>
    <ignoredError sqref="G7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10BD-5020-4021-B3A4-9C2626ACEDB2}">
  <sheetPr codeName="Sheet9">
    <tabColor rgb="FFFFFF00"/>
  </sheetPr>
  <dimension ref="A1:M32"/>
  <sheetViews>
    <sheetView showGridLines="0" zoomScaleNormal="100" workbookViewId="0">
      <selection activeCell="F10" sqref="F10"/>
    </sheetView>
  </sheetViews>
  <sheetFormatPr defaultRowHeight="14.4"/>
  <cols>
    <col min="1" max="1" width="37.44140625" bestFit="1" customWidth="1"/>
    <col min="2" max="2" width="15.21875" customWidth="1"/>
    <col min="3" max="7" width="10.21875" bestFit="1" customWidth="1"/>
    <col min="8" max="12" width="10.109375" bestFit="1" customWidth="1"/>
  </cols>
  <sheetData>
    <row r="1" spans="1:12" ht="15.6">
      <c r="A1" s="112"/>
      <c r="B1" s="112"/>
      <c r="C1" s="8" t="s">
        <v>2</v>
      </c>
      <c r="D1" s="8" t="s">
        <v>2</v>
      </c>
      <c r="E1" s="8" t="s">
        <v>2</v>
      </c>
      <c r="F1" s="8" t="s">
        <v>2</v>
      </c>
      <c r="G1" s="9" t="s">
        <v>2</v>
      </c>
      <c r="H1" s="8" t="s">
        <v>3</v>
      </c>
      <c r="I1" s="8" t="s">
        <v>3</v>
      </c>
      <c r="J1" s="8" t="s">
        <v>3</v>
      </c>
      <c r="K1" s="8" t="s">
        <v>3</v>
      </c>
      <c r="L1" s="8" t="s">
        <v>3</v>
      </c>
    </row>
    <row r="2" spans="1:12">
      <c r="C2" s="12">
        <v>2021</v>
      </c>
      <c r="D2" s="12">
        <v>2022</v>
      </c>
      <c r="E2" s="13">
        <v>2023</v>
      </c>
      <c r="F2" s="13">
        <v>2024</v>
      </c>
      <c r="G2" s="14">
        <v>2025</v>
      </c>
      <c r="H2" s="15">
        <v>2026</v>
      </c>
      <c r="I2" s="15">
        <v>2027</v>
      </c>
      <c r="J2" s="15">
        <v>2028</v>
      </c>
      <c r="K2" s="15">
        <v>2029</v>
      </c>
      <c r="L2" s="15">
        <v>2030</v>
      </c>
    </row>
    <row r="3" spans="1:12">
      <c r="A3" s="42"/>
      <c r="B3" s="42"/>
      <c r="C3" s="42"/>
      <c r="D3" s="42"/>
      <c r="E3" s="42"/>
      <c r="F3" s="113"/>
      <c r="G3" s="240"/>
      <c r="H3" s="113"/>
      <c r="I3" s="113"/>
      <c r="J3" s="113"/>
    </row>
    <row r="4" spans="1:12" ht="15.6">
      <c r="A4" s="161" t="s">
        <v>67</v>
      </c>
      <c r="B4" s="161"/>
      <c r="C4" s="162"/>
      <c r="D4" s="162"/>
      <c r="E4" s="162"/>
      <c r="F4" s="163"/>
      <c r="G4" s="241"/>
      <c r="H4" s="163"/>
      <c r="I4" s="163"/>
      <c r="J4" s="163"/>
      <c r="K4" s="72"/>
      <c r="L4" s="72"/>
    </row>
    <row r="5" spans="1:12" ht="15.6">
      <c r="A5" s="74" t="s">
        <v>68</v>
      </c>
      <c r="B5" s="74"/>
      <c r="C5" s="162">
        <v>50000</v>
      </c>
      <c r="D5" s="162">
        <f>C8</f>
        <v>51443</v>
      </c>
      <c r="E5" s="162">
        <f t="shared" ref="E5:F5" si="0">D8</f>
        <v>51473</v>
      </c>
      <c r="F5" s="162">
        <f t="shared" si="0"/>
        <v>52678</v>
      </c>
      <c r="G5" s="242">
        <f>F8</f>
        <v>53744</v>
      </c>
      <c r="H5" s="162">
        <f t="shared" ref="H5:L5" si="1">G8</f>
        <v>54335</v>
      </c>
      <c r="I5" s="162">
        <f t="shared" si="1"/>
        <v>54926.8554</v>
      </c>
      <c r="J5" s="162">
        <f t="shared" si="1"/>
        <v>55620.928239000001</v>
      </c>
      <c r="K5" s="162">
        <f t="shared" si="1"/>
        <v>56421.683910464999</v>
      </c>
      <c r="L5" s="162">
        <f t="shared" si="1"/>
        <v>57333.897422789778</v>
      </c>
    </row>
    <row r="6" spans="1:12" ht="15.6">
      <c r="A6" s="74" t="s">
        <v>69</v>
      </c>
      <c r="B6" s="74"/>
      <c r="C6" s="162">
        <v>2517</v>
      </c>
      <c r="D6" s="162">
        <v>1121</v>
      </c>
      <c r="E6" s="164">
        <v>2342</v>
      </c>
      <c r="F6" s="165">
        <v>2282</v>
      </c>
      <c r="G6" s="243">
        <v>1946</v>
      </c>
      <c r="H6" s="165">
        <f>'Assumption Sheet'!H17*'HUL IS'!H8</f>
        <v>1950.2303999999999</v>
      </c>
      <c r="I6" s="165">
        <f>'Assumption Sheet'!I17*'HUL IS'!I8</f>
        <v>2067.2442239999996</v>
      </c>
      <c r="J6" s="165">
        <f>'Assumption Sheet'!J17*'HUL IS'!J8</f>
        <v>2191.2788774399996</v>
      </c>
      <c r="K6" s="165">
        <f>'Assumption Sheet'!K17*'HUL IS'!K8</f>
        <v>2322.7556100863999</v>
      </c>
      <c r="L6" s="165">
        <f>'Assumption Sheet'!L17*'HUL IS'!L8</f>
        <v>2462.1209466915843</v>
      </c>
    </row>
    <row r="7" spans="1:12" ht="16.2" thickBot="1">
      <c r="A7" s="75" t="s">
        <v>70</v>
      </c>
      <c r="B7" s="75"/>
      <c r="C7" s="166">
        <v>-1074</v>
      </c>
      <c r="D7" s="166">
        <v>-1091</v>
      </c>
      <c r="E7" s="167">
        <v>-1137</v>
      </c>
      <c r="F7" s="168">
        <v>-1216</v>
      </c>
      <c r="G7" s="244">
        <v>-1355</v>
      </c>
      <c r="H7" s="168">
        <f>-H5*'Assumption Sheet'!H10</f>
        <v>-1358.375</v>
      </c>
      <c r="I7" s="168">
        <f>-I5*'Assumption Sheet'!I10</f>
        <v>-1373.1713850000001</v>
      </c>
      <c r="J7" s="168">
        <f>-J5*'Assumption Sheet'!J10</f>
        <v>-1390.5232059750001</v>
      </c>
      <c r="K7" s="168">
        <f>-K5*'Assumption Sheet'!K10</f>
        <v>-1410.542097761625</v>
      </c>
      <c r="L7" s="168">
        <f>-L5*'Assumption Sheet'!L10</f>
        <v>-1433.3474355697444</v>
      </c>
    </row>
    <row r="8" spans="1:12" ht="15.6">
      <c r="A8" s="161" t="s">
        <v>71</v>
      </c>
      <c r="B8" s="161"/>
      <c r="C8" s="169">
        <f>SUM(C5:C7)</f>
        <v>51443</v>
      </c>
      <c r="D8" s="169">
        <f t="shared" ref="D8:G8" si="2">SUM(D5:D7)</f>
        <v>51473</v>
      </c>
      <c r="E8" s="169">
        <f t="shared" si="2"/>
        <v>52678</v>
      </c>
      <c r="F8" s="169">
        <f t="shared" si="2"/>
        <v>53744</v>
      </c>
      <c r="G8" s="245">
        <f t="shared" si="2"/>
        <v>54335</v>
      </c>
      <c r="H8" s="170">
        <f>SUM(H5:H7)</f>
        <v>54926.8554</v>
      </c>
      <c r="I8" s="170">
        <f t="shared" ref="I8:L8" si="3">SUM(I5:I7)</f>
        <v>55620.928239000001</v>
      </c>
      <c r="J8" s="170">
        <f t="shared" si="3"/>
        <v>56421.683910464999</v>
      </c>
      <c r="K8" s="170">
        <f t="shared" si="3"/>
        <v>57333.897422789778</v>
      </c>
      <c r="L8" s="170">
        <f t="shared" si="3"/>
        <v>58362.670933911613</v>
      </c>
    </row>
    <row r="9" spans="1:12">
      <c r="A9" s="162"/>
      <c r="B9" s="162"/>
      <c r="C9" s="162"/>
      <c r="D9" s="162"/>
      <c r="E9" s="162"/>
      <c r="F9" s="163"/>
      <c r="G9" s="241"/>
      <c r="H9" s="163"/>
      <c r="I9" s="163"/>
      <c r="J9" s="163"/>
      <c r="K9" s="72"/>
      <c r="L9" s="72"/>
    </row>
    <row r="10" spans="1:12">
      <c r="A10" s="162"/>
      <c r="B10" s="162"/>
      <c r="C10" s="162"/>
      <c r="D10" s="162"/>
      <c r="E10" s="162"/>
      <c r="F10" s="162"/>
      <c r="G10" s="242"/>
      <c r="H10" s="162"/>
      <c r="I10" s="162"/>
      <c r="J10" s="162"/>
      <c r="K10" s="72"/>
      <c r="L10" s="72"/>
    </row>
    <row r="11" spans="1:12">
      <c r="A11" s="162"/>
      <c r="B11" s="162"/>
      <c r="C11" s="162"/>
      <c r="D11" s="162"/>
      <c r="E11" s="162"/>
      <c r="F11" s="162"/>
      <c r="G11" s="242"/>
      <c r="H11" s="162"/>
      <c r="I11" s="162"/>
      <c r="J11" s="162"/>
      <c r="K11" s="72"/>
      <c r="L11" s="72"/>
    </row>
    <row r="12" spans="1:12" ht="15" thickBot="1">
      <c r="A12" s="171" t="s">
        <v>72</v>
      </c>
      <c r="B12" s="171"/>
      <c r="C12" s="171"/>
      <c r="D12" s="171"/>
      <c r="E12" s="171"/>
      <c r="F12" s="171"/>
      <c r="G12" s="246"/>
      <c r="H12" s="171"/>
      <c r="I12" s="171"/>
      <c r="J12" s="171"/>
      <c r="K12" s="171"/>
      <c r="L12" s="171"/>
    </row>
    <row r="13" spans="1:12">
      <c r="A13" s="162"/>
      <c r="B13" s="162"/>
      <c r="C13" s="162"/>
      <c r="D13" s="162"/>
      <c r="E13" s="162"/>
      <c r="F13" s="162"/>
      <c r="G13" s="242"/>
      <c r="H13" s="162"/>
      <c r="I13" s="162"/>
      <c r="J13" s="162"/>
      <c r="K13" s="72"/>
      <c r="L13" s="72"/>
    </row>
    <row r="14" spans="1:12">
      <c r="A14" s="162" t="s">
        <v>45</v>
      </c>
      <c r="B14" s="72"/>
      <c r="C14" s="162">
        <f>'Data Sheet'!C53</f>
        <v>235</v>
      </c>
      <c r="D14" s="162">
        <f>'Data Sheet'!D53</f>
        <v>235</v>
      </c>
      <c r="E14" s="162">
        <f>'Data Sheet'!E53</f>
        <v>235</v>
      </c>
      <c r="F14" s="162">
        <f>'Data Sheet'!F53</f>
        <v>235</v>
      </c>
      <c r="G14" s="242">
        <f>'Data Sheet'!G53</f>
        <v>235</v>
      </c>
      <c r="H14" s="162">
        <v>235</v>
      </c>
      <c r="I14" s="162">
        <v>235</v>
      </c>
      <c r="J14" s="162">
        <v>235</v>
      </c>
      <c r="K14" s="162">
        <v>235</v>
      </c>
      <c r="L14" s="162">
        <v>235</v>
      </c>
    </row>
    <row r="15" spans="1:12">
      <c r="A15" s="162"/>
      <c r="B15" s="162"/>
      <c r="C15" s="162"/>
      <c r="D15" s="162"/>
      <c r="E15" s="162"/>
      <c r="F15" s="163"/>
      <c r="G15" s="241"/>
      <c r="H15" s="163"/>
      <c r="I15" s="163"/>
      <c r="J15" s="163"/>
      <c r="K15" s="72"/>
      <c r="L15" s="72"/>
    </row>
    <row r="16" spans="1:12">
      <c r="A16" s="162" t="s">
        <v>73</v>
      </c>
      <c r="B16" s="162"/>
      <c r="C16" s="162">
        <v>39439</v>
      </c>
      <c r="D16" s="162">
        <f>C19</f>
        <v>47439</v>
      </c>
      <c r="E16" s="162">
        <f t="shared" ref="E16:G16" si="4">D19</f>
        <v>48826</v>
      </c>
      <c r="F16" s="162">
        <f t="shared" si="4"/>
        <v>50069</v>
      </c>
      <c r="G16" s="242">
        <f t="shared" si="4"/>
        <v>50983</v>
      </c>
      <c r="H16" s="162">
        <f t="shared" ref="H16" si="5">G19</f>
        <v>51823</v>
      </c>
      <c r="I16" s="162">
        <f t="shared" ref="I16" si="6">H19</f>
        <v>52935.140299000006</v>
      </c>
      <c r="J16" s="162">
        <f t="shared" ref="J16" si="7">I19</f>
        <v>54119.011974565008</v>
      </c>
      <c r="K16" s="162">
        <f t="shared" ref="K16" si="8">J19</f>
        <v>55378.793835323282</v>
      </c>
      <c r="L16" s="162">
        <f t="shared" ref="L16" si="9">K19</f>
        <v>56718.918545269938</v>
      </c>
    </row>
    <row r="17" spans="1:13">
      <c r="A17" s="162" t="s">
        <v>74</v>
      </c>
      <c r="B17" s="162"/>
      <c r="C17" s="162">
        <f>'Data Sheet'!C25</f>
        <v>8000</v>
      </c>
      <c r="D17" s="162">
        <v>8887</v>
      </c>
      <c r="E17" s="162">
        <v>10143</v>
      </c>
      <c r="F17" s="163">
        <v>10282</v>
      </c>
      <c r="G17" s="241">
        <v>9340</v>
      </c>
      <c r="H17" s="163">
        <f>'HUL IS'!H38</f>
        <v>11121.402989999999</v>
      </c>
      <c r="I17" s="163">
        <f>'HUL IS'!I38</f>
        <v>11838.716755649997</v>
      </c>
      <c r="J17" s="163">
        <f>'HUL IS'!J38</f>
        <v>12597.818607582747</v>
      </c>
      <c r="K17" s="163">
        <f>'HUL IS'!K38</f>
        <v>13401.247099466618</v>
      </c>
      <c r="L17" s="163">
        <f>'HUL IS'!L38</f>
        <v>14251.692316477805</v>
      </c>
    </row>
    <row r="18" spans="1:13" ht="15" thickBot="1">
      <c r="A18" s="166" t="s">
        <v>75</v>
      </c>
      <c r="B18" s="166"/>
      <c r="C18" s="166" t="s">
        <v>52</v>
      </c>
      <c r="D18" s="166">
        <v>-7500</v>
      </c>
      <c r="E18" s="166">
        <v>-8900</v>
      </c>
      <c r="F18" s="172">
        <v>-9368</v>
      </c>
      <c r="G18" s="247">
        <v>-8500</v>
      </c>
      <c r="H18" s="172">
        <f>-H17*'Assumption Sheet'!H20</f>
        <v>-10009.262691</v>
      </c>
      <c r="I18" s="172">
        <f>-I17*'Assumption Sheet'!I20</f>
        <v>-10654.845080084997</v>
      </c>
      <c r="J18" s="172">
        <f>-J17*'Assumption Sheet'!J20</f>
        <v>-11338.036746824473</v>
      </c>
      <c r="K18" s="172">
        <f>-K17*'Assumption Sheet'!K20</f>
        <v>-12061.122389519956</v>
      </c>
      <c r="L18" s="172">
        <f>-L17*'Assumption Sheet'!L20</f>
        <v>-12826.523084830025</v>
      </c>
    </row>
    <row r="19" spans="1:13">
      <c r="A19" s="169" t="s">
        <v>76</v>
      </c>
      <c r="B19" s="169"/>
      <c r="C19" s="169">
        <f>SUM(C16:C18)</f>
        <v>47439</v>
      </c>
      <c r="D19" s="169">
        <f t="shared" ref="D19:G19" si="10">SUM(D16:D18)</f>
        <v>48826</v>
      </c>
      <c r="E19" s="169">
        <f t="shared" si="10"/>
        <v>50069</v>
      </c>
      <c r="F19" s="169">
        <f t="shared" si="10"/>
        <v>50983</v>
      </c>
      <c r="G19" s="245">
        <f t="shared" si="10"/>
        <v>51823</v>
      </c>
      <c r="H19" s="173">
        <f>SUM(H16:H18)</f>
        <v>52935.140299000006</v>
      </c>
      <c r="I19" s="173">
        <f t="shared" ref="I19:L19" si="11">SUM(I16:I18)</f>
        <v>54119.011974565008</v>
      </c>
      <c r="J19" s="173">
        <f t="shared" si="11"/>
        <v>55378.793835323282</v>
      </c>
      <c r="K19" s="173">
        <f t="shared" si="11"/>
        <v>56718.918545269938</v>
      </c>
      <c r="L19" s="173">
        <f t="shared" si="11"/>
        <v>58144.087776917717</v>
      </c>
    </row>
    <row r="22" spans="1:13" ht="18">
      <c r="A22" s="378"/>
    </row>
    <row r="23" spans="1:13" ht="18">
      <c r="A23" s="378" t="s">
        <v>164</v>
      </c>
    </row>
    <row r="24" spans="1:13">
      <c r="A24" s="379" t="s">
        <v>165</v>
      </c>
    </row>
    <row r="25" spans="1:13" ht="61.2" customHeight="1">
      <c r="A25" s="380" t="s">
        <v>166</v>
      </c>
    </row>
    <row r="26" spans="1:13" ht="15" thickBot="1">
      <c r="A26" s="379"/>
      <c r="M26" s="114"/>
    </row>
    <row r="27" spans="1:13" ht="46.8">
      <c r="A27" s="381" t="s">
        <v>194</v>
      </c>
    </row>
    <row r="28" spans="1:13" ht="31.2">
      <c r="A28" s="381" t="s">
        <v>206</v>
      </c>
    </row>
    <row r="32" spans="1:13" ht="15" thickBot="1">
      <c r="M32" s="11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185D-7ABC-447A-A03D-5BCE8DB5CCDE}">
  <sheetPr codeName="Sheet10">
    <tabColor rgb="FF7030A0"/>
  </sheetPr>
  <dimension ref="A1:N31"/>
  <sheetViews>
    <sheetView tabSelected="1" topLeftCell="A23" workbookViewId="0">
      <selection activeCell="B25" activeCellId="1" sqref="G17 B25"/>
    </sheetView>
  </sheetViews>
  <sheetFormatPr defaultRowHeight="14.4"/>
  <cols>
    <col min="1" max="1" width="19.6640625" bestFit="1" customWidth="1"/>
    <col min="2" max="2" width="29.6640625" bestFit="1" customWidth="1"/>
    <col min="3" max="3" width="29.5546875" bestFit="1" customWidth="1"/>
    <col min="4" max="4" width="16.109375" bestFit="1" customWidth="1"/>
    <col min="5" max="5" width="13.5546875" customWidth="1"/>
    <col min="6" max="6" width="21.44140625" bestFit="1" customWidth="1"/>
    <col min="7" max="7" width="6.109375" bestFit="1" customWidth="1"/>
    <col min="8" max="8" width="11.88671875" bestFit="1" customWidth="1"/>
    <col min="9" max="9" width="16" bestFit="1" customWidth="1"/>
  </cols>
  <sheetData>
    <row r="1" spans="1:14" ht="21">
      <c r="A1" s="458" t="s">
        <v>240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>
      <c r="A2" s="459" t="s">
        <v>241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</row>
    <row r="4" spans="1:14" s="91" customFormat="1">
      <c r="A4" s="460" t="s">
        <v>242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</row>
    <row r="5" spans="1:14" ht="28.8">
      <c r="A5" s="388" t="s">
        <v>243</v>
      </c>
      <c r="B5" s="388" t="s">
        <v>244</v>
      </c>
      <c r="C5" s="388" t="s">
        <v>245</v>
      </c>
      <c r="D5" s="388" t="s">
        <v>246</v>
      </c>
      <c r="E5" s="387"/>
      <c r="F5" s="388" t="s">
        <v>247</v>
      </c>
      <c r="G5" s="388"/>
      <c r="H5" s="388"/>
      <c r="I5" s="388"/>
      <c r="J5" s="387"/>
      <c r="K5" s="387"/>
      <c r="L5" s="387"/>
      <c r="M5" s="387"/>
      <c r="N5" s="387"/>
    </row>
    <row r="6" spans="1:14">
      <c r="A6" s="389" t="s">
        <v>248</v>
      </c>
      <c r="B6" s="404">
        <v>1674.6036237932965</v>
      </c>
      <c r="C6" s="402">
        <v>-0.152099430990736</v>
      </c>
      <c r="D6" s="393" t="s">
        <v>249</v>
      </c>
      <c r="E6" s="387"/>
      <c r="F6" s="389" t="s">
        <v>250</v>
      </c>
      <c r="G6" s="405">
        <v>1975</v>
      </c>
      <c r="H6" s="387"/>
      <c r="I6" s="387"/>
      <c r="J6" s="387"/>
      <c r="K6" s="387"/>
      <c r="L6" s="387"/>
      <c r="M6" s="387"/>
      <c r="N6" s="387"/>
    </row>
    <row r="7" spans="1:14">
      <c r="A7" s="389" t="s">
        <v>251</v>
      </c>
      <c r="B7" s="404">
        <v>2175.5886180663019</v>
      </c>
      <c r="C7" s="403">
        <v>0.10156385724876001</v>
      </c>
      <c r="D7" s="393" t="s">
        <v>252</v>
      </c>
      <c r="E7" s="387"/>
      <c r="F7" s="389" t="s">
        <v>253</v>
      </c>
      <c r="G7" s="404">
        <v>2041.6440344203766</v>
      </c>
      <c r="H7" s="387"/>
      <c r="I7" s="387"/>
      <c r="J7" s="387"/>
      <c r="K7" s="387"/>
      <c r="L7" s="387"/>
      <c r="M7" s="387"/>
      <c r="N7" s="387"/>
    </row>
    <row r="8" spans="1:14">
      <c r="A8" s="389" t="s">
        <v>254</v>
      </c>
      <c r="B8" s="404">
        <v>1714.0701161075092</v>
      </c>
      <c r="C8" s="402">
        <v>-0.13211639690759025</v>
      </c>
      <c r="D8" s="393" t="s">
        <v>249</v>
      </c>
      <c r="E8" s="387"/>
      <c r="F8" s="389" t="s">
        <v>255</v>
      </c>
      <c r="G8" s="404">
        <v>1714.0701161075092</v>
      </c>
      <c r="H8" s="387"/>
      <c r="I8" s="387"/>
      <c r="J8" s="387"/>
      <c r="K8" s="387"/>
      <c r="L8" s="387"/>
      <c r="M8" s="387"/>
      <c r="N8" s="387"/>
    </row>
    <row r="9" spans="1:14">
      <c r="A9" s="389" t="s">
        <v>256</v>
      </c>
      <c r="B9" s="404">
        <v>2235.2733690873179</v>
      </c>
      <c r="C9" s="403">
        <v>0.13178398434800909</v>
      </c>
      <c r="D9" s="393" t="s">
        <v>252</v>
      </c>
      <c r="E9" s="387"/>
      <c r="F9" s="389" t="s">
        <v>257</v>
      </c>
      <c r="G9" s="404">
        <v>2235.2733690873179</v>
      </c>
      <c r="H9" s="387"/>
      <c r="I9" s="387"/>
      <c r="J9" s="387"/>
      <c r="K9" s="387"/>
      <c r="L9" s="387"/>
      <c r="M9" s="387"/>
      <c r="N9" s="387"/>
    </row>
    <row r="10" spans="1:14">
      <c r="A10" s="391" t="s">
        <v>258</v>
      </c>
      <c r="B10" s="405">
        <v>1975</v>
      </c>
      <c r="C10" s="398">
        <v>0</v>
      </c>
      <c r="D10" s="393" t="s">
        <v>259</v>
      </c>
      <c r="E10" s="387"/>
      <c r="F10" s="389" t="s">
        <v>260</v>
      </c>
      <c r="G10" s="406">
        <v>1674.6036237932965</v>
      </c>
      <c r="H10" s="387"/>
      <c r="I10" s="387"/>
      <c r="J10" s="387"/>
      <c r="K10" s="387"/>
      <c r="L10" s="387"/>
      <c r="M10" s="387"/>
      <c r="N10" s="387"/>
    </row>
    <row r="11" spans="1:14">
      <c r="A11" s="387"/>
      <c r="B11" s="387"/>
      <c r="C11" s="387"/>
      <c r="D11" s="387"/>
      <c r="E11" s="387"/>
      <c r="F11" s="389" t="s">
        <v>261</v>
      </c>
      <c r="G11" s="406">
        <v>2235.2733690873179</v>
      </c>
      <c r="H11" s="387"/>
      <c r="I11" s="387"/>
      <c r="J11" s="387"/>
      <c r="K11" s="387"/>
      <c r="L11" s="387"/>
      <c r="M11" s="387"/>
      <c r="N11" s="387"/>
    </row>
    <row r="12" spans="1:14" s="91" customFormat="1">
      <c r="A12" s="453" t="s">
        <v>262</v>
      </c>
      <c r="B12" s="453"/>
      <c r="C12" s="453"/>
      <c r="D12" s="453"/>
      <c r="E12" s="413"/>
      <c r="F12" s="413"/>
      <c r="G12" s="413"/>
      <c r="H12" s="413"/>
      <c r="I12" s="413"/>
      <c r="J12" s="413"/>
      <c r="K12" s="413"/>
      <c r="L12" s="413"/>
      <c r="M12" s="413"/>
      <c r="N12" s="413"/>
    </row>
    <row r="13" spans="1:14">
      <c r="A13" s="388" t="s">
        <v>263</v>
      </c>
      <c r="B13" s="388" t="s">
        <v>264</v>
      </c>
      <c r="C13" s="388" t="s">
        <v>265</v>
      </c>
      <c r="D13" s="388" t="s">
        <v>266</v>
      </c>
      <c r="E13" s="387"/>
      <c r="F13" s="461" t="s">
        <v>267</v>
      </c>
      <c r="G13" s="461"/>
      <c r="H13" s="461"/>
      <c r="I13" s="461"/>
      <c r="J13" s="387"/>
      <c r="K13" s="387"/>
      <c r="L13" s="387"/>
      <c r="M13" s="387"/>
      <c r="N13" s="387"/>
    </row>
    <row r="14" spans="1:14">
      <c r="A14" s="394" t="s">
        <v>268</v>
      </c>
      <c r="B14" s="400">
        <v>0.05</v>
      </c>
      <c r="C14" s="394" t="s">
        <v>269</v>
      </c>
      <c r="D14" s="395" t="s">
        <v>270</v>
      </c>
      <c r="E14" s="387"/>
      <c r="F14" s="389" t="s">
        <v>250</v>
      </c>
      <c r="G14" s="407">
        <v>1975</v>
      </c>
      <c r="H14" s="389" t="s">
        <v>271</v>
      </c>
      <c r="I14" s="398">
        <v>-5.9177808047171321E-2</v>
      </c>
      <c r="J14" s="387"/>
      <c r="K14" s="387"/>
      <c r="L14" s="387"/>
      <c r="M14" s="387"/>
      <c r="N14" s="387"/>
    </row>
    <row r="15" spans="1:14">
      <c r="A15" s="394" t="s">
        <v>272</v>
      </c>
      <c r="B15" s="401">
        <v>35.71</v>
      </c>
      <c r="C15" s="394" t="s">
        <v>273</v>
      </c>
      <c r="D15" s="395" t="s">
        <v>270</v>
      </c>
      <c r="E15" s="387"/>
      <c r="F15" s="389" t="s">
        <v>274</v>
      </c>
      <c r="G15" s="399">
        <v>0.5</v>
      </c>
      <c r="H15" s="389" t="s">
        <v>275</v>
      </c>
      <c r="I15" s="392" t="s">
        <v>276</v>
      </c>
      <c r="J15" s="387"/>
      <c r="K15" s="387"/>
      <c r="L15" s="387"/>
      <c r="M15" s="387"/>
      <c r="N15" s="387"/>
    </row>
    <row r="16" spans="1:14">
      <c r="A16" s="394" t="s">
        <v>144</v>
      </c>
      <c r="B16" s="400">
        <v>8.9056816047622375E-2</v>
      </c>
      <c r="C16" s="394" t="s">
        <v>277</v>
      </c>
      <c r="D16" s="395" t="s">
        <v>270</v>
      </c>
      <c r="E16" s="387"/>
      <c r="F16" s="389" t="s">
        <v>278</v>
      </c>
      <c r="G16" s="399">
        <v>0.5</v>
      </c>
      <c r="H16" s="389" t="s">
        <v>279</v>
      </c>
      <c r="I16" s="390" t="s">
        <v>280</v>
      </c>
      <c r="J16" s="387"/>
      <c r="K16" s="387"/>
      <c r="L16" s="387"/>
      <c r="M16" s="387"/>
      <c r="N16" s="387"/>
    </row>
    <row r="17" spans="1:14" ht="57.6">
      <c r="A17" s="394" t="s">
        <v>132</v>
      </c>
      <c r="B17" s="400">
        <v>3.4441154966887419E-2</v>
      </c>
      <c r="C17" s="394" t="s">
        <v>281</v>
      </c>
      <c r="D17" s="395" t="s">
        <v>270</v>
      </c>
      <c r="E17" s="387"/>
      <c r="F17" s="389" t="s">
        <v>282</v>
      </c>
      <c r="G17" s="408">
        <v>1858.1238291068366</v>
      </c>
      <c r="H17" s="389" t="s">
        <v>283</v>
      </c>
      <c r="I17" s="396" t="s">
        <v>284</v>
      </c>
      <c r="J17" s="387"/>
      <c r="K17" s="387"/>
      <c r="L17" s="387"/>
      <c r="M17" s="387"/>
      <c r="N17" s="387"/>
    </row>
    <row r="18" spans="1:14">
      <c r="A18" s="394" t="s">
        <v>18</v>
      </c>
      <c r="B18" s="400">
        <v>0.25</v>
      </c>
      <c r="C18" s="394" t="s">
        <v>285</v>
      </c>
      <c r="D18" s="395" t="s">
        <v>286</v>
      </c>
      <c r="E18" s="387"/>
      <c r="F18" s="387"/>
      <c r="G18" s="387"/>
      <c r="H18" s="387"/>
      <c r="I18" s="387"/>
      <c r="J18" s="387"/>
      <c r="K18" s="387"/>
      <c r="L18" s="387"/>
      <c r="M18" s="387"/>
      <c r="N18" s="387"/>
    </row>
    <row r="19" spans="1:14">
      <c r="A19" s="394" t="s">
        <v>287</v>
      </c>
      <c r="B19" s="394" t="s">
        <v>288</v>
      </c>
      <c r="C19" s="394" t="s">
        <v>289</v>
      </c>
      <c r="D19" s="395" t="s">
        <v>270</v>
      </c>
      <c r="E19" s="387"/>
      <c r="F19" s="387"/>
      <c r="G19" s="387"/>
      <c r="H19" s="387"/>
      <c r="I19" s="387"/>
      <c r="J19" s="387"/>
      <c r="K19" s="387"/>
      <c r="L19" s="387"/>
      <c r="M19" s="387"/>
      <c r="N19" s="387"/>
    </row>
    <row r="21" spans="1:14" s="91" customFormat="1">
      <c r="A21" s="453" t="s">
        <v>290</v>
      </c>
      <c r="B21" s="453"/>
      <c r="C21" s="453"/>
      <c r="D21" s="453"/>
      <c r="E21" s="453"/>
      <c r="F21" s="453"/>
      <c r="G21" s="453"/>
      <c r="H21" s="453"/>
      <c r="I21" s="453"/>
      <c r="J21" s="453"/>
      <c r="K21" s="453"/>
      <c r="L21" s="453"/>
      <c r="M21" s="453"/>
      <c r="N21" s="453"/>
    </row>
    <row r="22" spans="1:14">
      <c r="A22" s="388" t="s">
        <v>291</v>
      </c>
      <c r="B22" s="388" t="s">
        <v>110</v>
      </c>
      <c r="C22" s="388" t="s">
        <v>115</v>
      </c>
      <c r="D22" s="388" t="s">
        <v>292</v>
      </c>
      <c r="E22" s="388" t="s">
        <v>283</v>
      </c>
      <c r="F22" s="388" t="s">
        <v>293</v>
      </c>
      <c r="G22" s="387"/>
      <c r="H22" s="454" t="s">
        <v>294</v>
      </c>
      <c r="I22" s="454"/>
      <c r="J22" s="454"/>
      <c r="K22" s="454"/>
      <c r="L22" s="454"/>
      <c r="M22" s="454"/>
      <c r="N22" s="454"/>
    </row>
    <row r="23" spans="1:14" ht="100.8" customHeight="1">
      <c r="A23" s="394" t="s">
        <v>295</v>
      </c>
      <c r="B23" s="414">
        <f>'HUL IS'!G8</f>
        <v>61328</v>
      </c>
      <c r="C23" s="414">
        <f>'HUL IS'!L8</f>
        <v>82070.698223052808</v>
      </c>
      <c r="D23" s="412">
        <v>6.0000000000000102E-2</v>
      </c>
      <c r="E23" s="397" t="s">
        <v>296</v>
      </c>
      <c r="F23" s="416" t="s">
        <v>310</v>
      </c>
      <c r="G23" s="387"/>
      <c r="H23" s="455" t="s">
        <v>298</v>
      </c>
      <c r="I23" s="455"/>
      <c r="J23" s="455"/>
      <c r="K23" s="455"/>
      <c r="L23" s="455"/>
      <c r="M23" s="455"/>
      <c r="N23" s="455"/>
    </row>
    <row r="24" spans="1:14" ht="57.6">
      <c r="A24" s="394" t="s">
        <v>299</v>
      </c>
      <c r="B24" s="414">
        <f>'HUL IS'!G20</f>
        <v>13058</v>
      </c>
      <c r="C24" s="414">
        <f>'HUL IS'!L20</f>
        <v>19696.967573532675</v>
      </c>
      <c r="D24" s="412">
        <v>8.5686758791292394E-2</v>
      </c>
      <c r="E24" s="397" t="s">
        <v>300</v>
      </c>
      <c r="F24" s="417" t="s">
        <v>297</v>
      </c>
      <c r="G24" s="387"/>
      <c r="H24" s="455"/>
      <c r="I24" s="455"/>
      <c r="J24" s="455"/>
      <c r="K24" s="455"/>
      <c r="L24" s="455"/>
      <c r="M24" s="455"/>
      <c r="N24" s="455"/>
    </row>
    <row r="25" spans="1:14" ht="57.6">
      <c r="A25" s="394" t="s">
        <v>301</v>
      </c>
      <c r="B25" s="415">
        <f>B24/B23</f>
        <v>0.21292068875554396</v>
      </c>
      <c r="C25" s="415">
        <f>C24/C23</f>
        <v>0.24000000000000002</v>
      </c>
      <c r="D25" s="412">
        <v>2.7079311244456061E-2</v>
      </c>
      <c r="E25" s="397" t="s">
        <v>302</v>
      </c>
      <c r="F25" s="418" t="s">
        <v>311</v>
      </c>
      <c r="G25" s="387"/>
      <c r="H25" s="455"/>
      <c r="I25" s="455"/>
      <c r="J25" s="455"/>
      <c r="K25" s="455"/>
      <c r="L25" s="455"/>
      <c r="M25" s="455"/>
      <c r="N25" s="455"/>
    </row>
    <row r="26" spans="1:14" ht="57.6">
      <c r="A26" s="394" t="s">
        <v>303</v>
      </c>
      <c r="B26" s="414">
        <f>'HUL IS'!G38</f>
        <v>9340</v>
      </c>
      <c r="C26" s="414">
        <f>'HUL IS'!L38</f>
        <v>14251.692316477805</v>
      </c>
      <c r="D26" s="412">
        <v>8.8187949584820124E-2</v>
      </c>
      <c r="E26" s="397" t="s">
        <v>304</v>
      </c>
      <c r="F26" s="417" t="s">
        <v>297</v>
      </c>
      <c r="G26" s="387"/>
      <c r="H26" s="455"/>
      <c r="I26" s="455"/>
      <c r="J26" s="455"/>
      <c r="K26" s="455"/>
      <c r="L26" s="455"/>
      <c r="M26" s="455"/>
      <c r="N26" s="455"/>
    </row>
    <row r="27" spans="1:14" ht="72">
      <c r="A27" s="394" t="s">
        <v>305</v>
      </c>
      <c r="B27" s="414">
        <f>'DCF Analysis'!D20</f>
        <v>10821.506149999997</v>
      </c>
      <c r="C27" s="414">
        <v>13592.267246806741</v>
      </c>
      <c r="D27" s="412">
        <v>5.8646701219491337E-2</v>
      </c>
      <c r="E27" s="397" t="s">
        <v>306</v>
      </c>
      <c r="F27" s="417" t="s">
        <v>270</v>
      </c>
      <c r="G27" s="387"/>
      <c r="H27" s="455"/>
      <c r="I27" s="455"/>
      <c r="J27" s="455"/>
      <c r="K27" s="455"/>
      <c r="L27" s="455"/>
      <c r="M27" s="455"/>
      <c r="N27" s="455"/>
    </row>
    <row r="28" spans="1:14">
      <c r="A28" s="387"/>
      <c r="B28" s="387"/>
      <c r="C28" s="387"/>
      <c r="D28" s="387"/>
      <c r="E28" s="387"/>
      <c r="F28" s="387"/>
      <c r="G28" s="387"/>
      <c r="H28" s="455"/>
      <c r="I28" s="455"/>
      <c r="J28" s="455"/>
      <c r="K28" s="455"/>
      <c r="L28" s="455"/>
      <c r="M28" s="455"/>
      <c r="N28" s="455"/>
    </row>
    <row r="29" spans="1:14">
      <c r="A29" s="387"/>
      <c r="B29" s="387"/>
      <c r="C29" s="387"/>
      <c r="D29" s="387"/>
      <c r="E29" s="387"/>
      <c r="F29" s="387"/>
      <c r="G29" s="387"/>
      <c r="H29" s="455"/>
      <c r="I29" s="455"/>
      <c r="J29" s="455"/>
      <c r="K29" s="455"/>
      <c r="L29" s="455"/>
      <c r="M29" s="455"/>
      <c r="N29" s="455"/>
    </row>
    <row r="31" spans="1:14" ht="22.2" customHeight="1">
      <c r="A31" s="457" t="s">
        <v>307</v>
      </c>
      <c r="B31" s="457"/>
      <c r="C31" s="457"/>
      <c r="D31" s="457"/>
      <c r="E31" s="457"/>
      <c r="F31" s="457"/>
      <c r="G31" s="387"/>
      <c r="H31" s="456" t="s">
        <v>308</v>
      </c>
      <c r="I31" s="456"/>
      <c r="J31" s="456"/>
      <c r="K31" s="456"/>
      <c r="L31" s="456"/>
      <c r="M31" s="456"/>
      <c r="N31" s="456"/>
    </row>
  </sheetData>
  <mergeCells count="10">
    <mergeCell ref="A1:N1"/>
    <mergeCell ref="A2:N2"/>
    <mergeCell ref="A4:N4"/>
    <mergeCell ref="F13:I13"/>
    <mergeCell ref="A12:D12"/>
    <mergeCell ref="A21:N21"/>
    <mergeCell ref="H22:N22"/>
    <mergeCell ref="H23:N29"/>
    <mergeCell ref="H31:N31"/>
    <mergeCell ref="A31:F31"/>
  </mergeCells>
  <dataValidations count="1">
    <dataValidation type="list" allowBlank="1" showInputMessage="1" showErrorMessage="1" sqref="D6:D9" xr:uid="{17557A51-E7CC-47D4-A818-919DA4BB7F65}">
      <formula1>$D$6:$D$9</formula1>
    </dataValidation>
  </dataValidations>
  <hyperlinks>
    <hyperlink ref="F23" location="'HUL IS'!A1" display="'HUL IS'!A1" xr:uid="{4666B4EE-03F9-4F2D-8A39-79CBF837ADCA}"/>
    <hyperlink ref="F24" location="'HUL IS'!A1" display="HUL IS" xr:uid="{017CA786-6018-4974-9750-8EA4395BB339}"/>
    <hyperlink ref="F26" location="'HUL IS'!A1" display="HUL IS" xr:uid="{027355F6-BFAC-483A-B596-9E3CFFD534A6}"/>
    <hyperlink ref="F27" location="'DCF Analysis'!A1" display="DCF Analysis" xr:uid="{70119268-1CA8-4FDE-92E5-8004298FF25D}"/>
    <hyperlink ref="F25" location="'HUL IS'!A1" display="HUL IS " xr:uid="{FE3C671F-988E-4CEC-8C53-42DBB851793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 Sheet</vt:lpstr>
      <vt:lpstr>Data Sheet</vt:lpstr>
      <vt:lpstr>HUL IS</vt:lpstr>
      <vt:lpstr>HUL BS</vt:lpstr>
      <vt:lpstr>HUL CS</vt:lpstr>
      <vt:lpstr>DCF Analysis</vt:lpstr>
      <vt:lpstr>Ratio Analysis</vt:lpstr>
      <vt:lpstr>CCA Analysis</vt:lpstr>
      <vt:lpstr>Calculation Sheet</vt:lpstr>
      <vt:lpstr>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2026-08-30T14:24:27Z</dcterms:created>
  <dcterms:modified xsi:type="dcterms:W3CDTF">2026-10-04T07:21:29Z</dcterms:modified>
</cp:coreProperties>
</file>